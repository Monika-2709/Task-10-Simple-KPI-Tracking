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aw Orders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yyyy-mm-dd"/>
    <numFmt numFmtId="166" formatCode="dd-mmm-yyyy"/>
    <numFmt numFmtId="167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7365D"/>
      <sz val="11"/>
    </font>
    <font>
      <b val="1"/>
      <color rgb="0017365D"/>
      <sz val="14"/>
    </font>
    <font>
      <b val="1"/>
      <color rgb="00FFFFFF"/>
      <sz val="10"/>
    </font>
    <font>
      <b val="1"/>
      <color rgb="001F1F1F"/>
      <sz val="15"/>
    </font>
    <font>
      <b val="1"/>
      <color rgb="0017365D"/>
      <sz val="13"/>
    </font>
    <font>
      <b val="1"/>
      <color rgb="0017365D"/>
    </font>
    <font>
      <i val="1"/>
      <color rgb="00666666"/>
      <sz val="9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2" borderId="0" applyAlignment="1" pivotButton="0" quotePrefix="0" xfId="0">
      <alignment horizontal="center"/>
    </xf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0" fontId="10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Orders" displayName="tblOrders" ref="A1:G151" headerRowCount="1">
  <autoFilter ref="A1:G151"/>
  <tableColumns count="7">
    <tableColumn id="1" name="Order ID"/>
    <tableColumn id="2" name="Order Date"/>
    <tableColumn id="3" name="Product"/>
    <tableColumn id="4" name="Units"/>
    <tableColumn id="5" name="Unit Price"/>
    <tableColumn id="6" name="Discount"/>
    <tableColumn id="7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2" customWidth="1" min="4" max="4"/>
    <col width="24" customWidth="1" min="5" max="5"/>
    <col width="18" customWidth="1" min="6" max="6"/>
  </cols>
  <sheetData>
    <row r="1" ht="34" customHeight="1">
      <c r="A1" s="1" t="inlineStr">
        <is>
          <t>SIMPLE KPI TRACKING SHEET</t>
        </is>
      </c>
    </row>
    <row r="2">
      <c r="A2" s="2" t="inlineStr">
        <is>
          <t>Task 10 | Data Analytics Track</t>
        </is>
      </c>
    </row>
    <row r="4">
      <c r="A4" s="3" t="inlineStr">
        <is>
          <t>Business KPI Summary</t>
        </is>
      </c>
    </row>
    <row r="6" ht="32" customHeight="1">
      <c r="A6" s="4" t="inlineStr">
        <is>
          <t>TOTAL REVENUE</t>
        </is>
      </c>
      <c r="B6" s="4" t="inlineStr">
        <is>
          <t>UNITS SOLD</t>
        </is>
      </c>
      <c r="C6" s="4" t="inlineStr">
        <is>
          <t>AVERAGE ORDER VALUE</t>
        </is>
      </c>
      <c r="D6" s="4" t="inlineStr">
        <is>
          <t>TOP PRODUCT</t>
        </is>
      </c>
      <c r="E6" s="4" t="inlineStr">
        <is>
          <t>TOP PRODUCT REVENUE</t>
        </is>
      </c>
    </row>
    <row r="7" ht="45" customHeight="1">
      <c r="A7" s="5">
        <f>SUM(tblOrders[Revenue])</f>
        <v/>
      </c>
      <c r="B7" s="6">
        <f>SUM(tblOrders[Units])</f>
        <v/>
      </c>
      <c r="C7" s="5">
        <f>IFERROR(SUM(tblOrders[Revenue])/COUNTA(tblOrders[Order ID]),0)</f>
        <v/>
      </c>
      <c r="D7" s="7">
        <f>LET(p,UNIQUE(tblOrders[Product]),s,SUMIF(tblOrders[Product],p,tblOrders[Revenue]),INDEX(p,MATCH(MAX(s),s,0)))</f>
        <v/>
      </c>
      <c r="E7" s="5">
        <f>LET(p,UNIQUE(tblOrders[Product]),s,SUMIF(tblOrders[Product],p,tblOrders[Revenue]),MAX(s))</f>
        <v/>
      </c>
    </row>
    <row r="10">
      <c r="A10" s="8" t="inlineStr">
        <is>
          <t>KPI Notes</t>
        </is>
      </c>
    </row>
    <row r="11">
      <c r="A11" s="9" t="inlineStr">
        <is>
          <t>Revenue</t>
        </is>
      </c>
      <c r="B11" s="10" t="inlineStr">
        <is>
          <t>Sum of all order revenue.</t>
        </is>
      </c>
    </row>
    <row r="12">
      <c r="A12" s="9" t="inlineStr">
        <is>
          <t>Units Sold</t>
        </is>
      </c>
      <c r="B12" s="10" t="inlineStr">
        <is>
          <t>Total quantity of products sold.</t>
        </is>
      </c>
    </row>
    <row r="13">
      <c r="A13" s="9" t="inlineStr">
        <is>
          <t>Average Order Value</t>
        </is>
      </c>
      <c r="B13" s="10" t="inlineStr">
        <is>
          <t>Revenue divided by number of orders.</t>
        </is>
      </c>
    </row>
    <row r="14">
      <c r="A14" s="9" t="inlineStr">
        <is>
          <t>Top Product</t>
        </is>
      </c>
      <c r="B14" s="10" t="inlineStr">
        <is>
          <t>Product with the highest total revenue.</t>
        </is>
      </c>
    </row>
    <row r="15">
      <c r="A15" s="9" t="inlineStr">
        <is>
          <t>Top Product Revenue</t>
        </is>
      </c>
      <c r="B15" s="10" t="inlineStr">
        <is>
          <t>Revenue generated by the top product.</t>
        </is>
      </c>
    </row>
    <row r="18">
      <c r="A18" s="8" t="inlineStr">
        <is>
          <t>How to update</t>
        </is>
      </c>
    </row>
    <row r="19">
      <c r="A19" t="inlineStr">
        <is>
          <t>1. Open the Raw Orders tab.</t>
        </is>
      </c>
    </row>
    <row r="20">
      <c r="A20" t="inlineStr">
        <is>
          <t>2. Add new order rows directly below the existing Excel table.</t>
        </is>
      </c>
    </row>
    <row r="21">
      <c r="A21" t="inlineStr">
        <is>
          <t>3. Excel automatically expands the table and recalculates the KPI formulas.</t>
        </is>
      </c>
    </row>
    <row r="22">
      <c r="A22" t="inlineStr">
        <is>
          <t>4. Return to KPI Summary to view the updated KPIs.</t>
        </is>
      </c>
    </row>
    <row r="25">
      <c r="A25" s="11" t="inlineStr">
        <is>
          <t>Synthetic dataset created because the task image did not include a raw dataset.</t>
        </is>
      </c>
    </row>
  </sheetData>
  <mergeCells count="15">
    <mergeCell ref="A2:F2"/>
    <mergeCell ref="B12:F12"/>
    <mergeCell ref="A10:F10"/>
    <mergeCell ref="A19:F19"/>
    <mergeCell ref="B15:F15"/>
    <mergeCell ref="B11:F11"/>
    <mergeCell ref="A1:F1"/>
    <mergeCell ref="A22:F22"/>
    <mergeCell ref="A18:F18"/>
    <mergeCell ref="A4:F4"/>
    <mergeCell ref="B14:F14"/>
    <mergeCell ref="A20:F20"/>
    <mergeCell ref="A21:F21"/>
    <mergeCell ref="B13:F13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0" customWidth="1" min="4" max="4"/>
    <col width="14" customWidth="1" min="5" max="5"/>
    <col width="12" customWidth="1" min="6" max="6"/>
    <col width="16" customWidth="1" min="7" max="7"/>
  </cols>
  <sheetData>
    <row r="1">
      <c r="A1" s="12" t="inlineStr">
        <is>
          <t>Order ID</t>
        </is>
      </c>
      <c r="B1" s="12" t="inlineStr">
        <is>
          <t>Order Date</t>
        </is>
      </c>
      <c r="C1" s="12" t="inlineStr">
        <is>
          <t>Product</t>
        </is>
      </c>
      <c r="D1" s="12" t="inlineStr">
        <is>
          <t>Units</t>
        </is>
      </c>
      <c r="E1" s="12" t="inlineStr">
        <is>
          <t>Unit Price</t>
        </is>
      </c>
      <c r="F1" s="12" t="inlineStr">
        <is>
          <t>Discount</t>
        </is>
      </c>
      <c r="G1" s="12" t="inlineStr">
        <is>
          <t>Revenue</t>
        </is>
      </c>
    </row>
    <row r="2">
      <c r="A2" t="inlineStr">
        <is>
          <t>ORD-0052</t>
        </is>
      </c>
      <c r="B2" s="13" t="n">
        <v>46204</v>
      </c>
      <c r="C2" t="inlineStr">
        <is>
          <t>Mechanical Keyboard</t>
        </is>
      </c>
      <c r="D2" t="n">
        <v>1</v>
      </c>
      <c r="E2" s="14" t="n">
        <v>4902.33</v>
      </c>
      <c r="F2" s="15" t="n">
        <v>0</v>
      </c>
      <c r="G2" s="14" t="n">
        <v>4902.33</v>
      </c>
    </row>
    <row r="3">
      <c r="A3" t="inlineStr">
        <is>
          <t>ORD-0018</t>
        </is>
      </c>
      <c r="B3" s="13" t="n">
        <v>46205</v>
      </c>
      <c r="C3" t="inlineStr">
        <is>
          <t>USB Hub</t>
        </is>
      </c>
      <c r="D3" t="n">
        <v>1</v>
      </c>
      <c r="E3" s="14" t="n">
        <v>1483.54</v>
      </c>
      <c r="F3" s="15" t="n">
        <v>0</v>
      </c>
      <c r="G3" s="14" t="n">
        <v>1483.54</v>
      </c>
    </row>
    <row r="4">
      <c r="A4" t="inlineStr">
        <is>
          <t>ORD-0022</t>
        </is>
      </c>
      <c r="B4" s="13" t="n">
        <v>46205</v>
      </c>
      <c r="C4" t="inlineStr">
        <is>
          <t>Headphones</t>
        </is>
      </c>
      <c r="D4" t="n">
        <v>1</v>
      </c>
      <c r="E4" s="14" t="n">
        <v>3483.99</v>
      </c>
      <c r="F4" s="15" t="n">
        <v>0.05</v>
      </c>
      <c r="G4" s="14" t="n">
        <v>3309.79</v>
      </c>
    </row>
    <row r="5">
      <c r="A5" t="inlineStr">
        <is>
          <t>ORD-0032</t>
        </is>
      </c>
      <c r="B5" s="13" t="n">
        <v>46206</v>
      </c>
      <c r="C5" t="inlineStr">
        <is>
          <t>Bluetooth Speaker</t>
        </is>
      </c>
      <c r="D5" t="n">
        <v>1</v>
      </c>
      <c r="E5" s="14" t="n">
        <v>3063.5</v>
      </c>
      <c r="F5" s="15" t="n">
        <v>0</v>
      </c>
      <c r="G5" s="14" t="n">
        <v>3063.5</v>
      </c>
    </row>
    <row r="6">
      <c r="A6" t="inlineStr">
        <is>
          <t>ORD-0071</t>
        </is>
      </c>
      <c r="B6" s="13" t="n">
        <v>46206</v>
      </c>
      <c r="C6" t="inlineStr">
        <is>
          <t>Power Bank</t>
        </is>
      </c>
      <c r="D6" t="n">
        <v>1</v>
      </c>
      <c r="E6" s="14" t="n">
        <v>1745.87</v>
      </c>
      <c r="F6" s="15" t="n">
        <v>0</v>
      </c>
      <c r="G6" s="14" t="n">
        <v>1745.87</v>
      </c>
    </row>
    <row r="7">
      <c r="A7" t="inlineStr">
        <is>
          <t>ORD-0122</t>
        </is>
      </c>
      <c r="B7" s="13" t="n">
        <v>46206</v>
      </c>
      <c r="C7" t="inlineStr">
        <is>
          <t>Mechanical Keyboard</t>
        </is>
      </c>
      <c r="D7" t="n">
        <v>1</v>
      </c>
      <c r="E7" s="14" t="n">
        <v>4641.94</v>
      </c>
      <c r="F7" s="15" t="n">
        <v>0.02</v>
      </c>
      <c r="G7" s="14" t="n">
        <v>4549.1</v>
      </c>
    </row>
    <row r="8">
      <c r="A8" t="inlineStr">
        <is>
          <t>ORD-0069</t>
        </is>
      </c>
      <c r="B8" s="13" t="n">
        <v>46207</v>
      </c>
      <c r="C8" t="inlineStr">
        <is>
          <t>Gaming Chair</t>
        </is>
      </c>
      <c r="D8" t="n">
        <v>1</v>
      </c>
      <c r="E8" s="14" t="n">
        <v>13327.68</v>
      </c>
      <c r="F8" s="15" t="n">
        <v>0.05</v>
      </c>
      <c r="G8" s="14" t="n">
        <v>12661.3</v>
      </c>
    </row>
    <row r="9">
      <c r="A9" t="inlineStr">
        <is>
          <t>ORD-0108</t>
        </is>
      </c>
      <c r="B9" s="13" t="n">
        <v>46207</v>
      </c>
      <c r="C9" t="inlineStr">
        <is>
          <t>Keyboard</t>
        </is>
      </c>
      <c r="D9" t="n">
        <v>2</v>
      </c>
      <c r="E9" s="14" t="n">
        <v>2271.84</v>
      </c>
      <c r="F9" s="15" t="n">
        <v>0.08</v>
      </c>
      <c r="G9" s="14" t="n">
        <v>4180.19</v>
      </c>
    </row>
    <row r="10">
      <c r="A10" t="inlineStr">
        <is>
          <t>ORD-0113</t>
        </is>
      </c>
      <c r="B10" s="13" t="n">
        <v>46207</v>
      </c>
      <c r="C10" t="inlineStr">
        <is>
          <t>Power Bank</t>
        </is>
      </c>
      <c r="D10" t="n">
        <v>1</v>
      </c>
      <c r="E10" s="14" t="n">
        <v>1882.98</v>
      </c>
      <c r="F10" s="15" t="n">
        <v>0</v>
      </c>
      <c r="G10" s="14" t="n">
        <v>1882.98</v>
      </c>
    </row>
    <row r="11">
      <c r="A11" t="inlineStr">
        <is>
          <t>ORD-0129</t>
        </is>
      </c>
      <c r="B11" s="13" t="n">
        <v>46207</v>
      </c>
      <c r="C11" t="inlineStr">
        <is>
          <t>Gaming Chair</t>
        </is>
      </c>
      <c r="D11" t="n">
        <v>1</v>
      </c>
      <c r="E11" s="14" t="n">
        <v>12970.25</v>
      </c>
      <c r="F11" s="15" t="n">
        <v>0</v>
      </c>
      <c r="G11" s="14" t="n">
        <v>12970.25</v>
      </c>
    </row>
    <row r="12">
      <c r="A12" t="inlineStr">
        <is>
          <t>ORD-0002</t>
        </is>
      </c>
      <c r="B12" s="13" t="n">
        <v>46209</v>
      </c>
      <c r="C12" t="inlineStr">
        <is>
          <t>Keyboard</t>
        </is>
      </c>
      <c r="D12" t="n">
        <v>3</v>
      </c>
      <c r="E12" s="14" t="n">
        <v>2275.52</v>
      </c>
      <c r="F12" s="15" t="n">
        <v>0.05</v>
      </c>
      <c r="G12" s="14" t="n">
        <v>6485.23</v>
      </c>
    </row>
    <row r="13">
      <c r="A13" t="inlineStr">
        <is>
          <t>ORD-0028</t>
        </is>
      </c>
      <c r="B13" s="13" t="n">
        <v>46209</v>
      </c>
      <c r="C13" t="inlineStr">
        <is>
          <t>Smartphone</t>
        </is>
      </c>
      <c r="D13" t="n">
        <v>2</v>
      </c>
      <c r="E13" s="14" t="n">
        <v>26999.94</v>
      </c>
      <c r="F13" s="15" t="n">
        <v>0.02</v>
      </c>
      <c r="G13" s="14" t="n">
        <v>52919.88</v>
      </c>
    </row>
    <row r="14">
      <c r="A14" t="inlineStr">
        <is>
          <t>ORD-0085</t>
        </is>
      </c>
      <c r="B14" s="13" t="n">
        <v>46209</v>
      </c>
      <c r="C14" t="inlineStr">
        <is>
          <t>USB Hub</t>
        </is>
      </c>
      <c r="D14" t="n">
        <v>1</v>
      </c>
      <c r="E14" s="14" t="n">
        <v>1578.47</v>
      </c>
      <c r="F14" s="15" t="n">
        <v>0</v>
      </c>
      <c r="G14" s="14" t="n">
        <v>1578.47</v>
      </c>
    </row>
    <row r="15">
      <c r="A15" t="inlineStr">
        <is>
          <t>ORD-0104</t>
        </is>
      </c>
      <c r="B15" s="13" t="n">
        <v>46209</v>
      </c>
      <c r="C15" t="inlineStr">
        <is>
          <t>USB Hub</t>
        </is>
      </c>
      <c r="D15" t="n">
        <v>2</v>
      </c>
      <c r="E15" s="14" t="n">
        <v>1453.35</v>
      </c>
      <c r="F15" s="15" t="n">
        <v>0</v>
      </c>
      <c r="G15" s="14" t="n">
        <v>2906.7</v>
      </c>
    </row>
    <row r="16">
      <c r="A16" t="inlineStr">
        <is>
          <t>ORD-0141</t>
        </is>
      </c>
      <c r="B16" s="13" t="n">
        <v>46209</v>
      </c>
      <c r="C16" t="inlineStr">
        <is>
          <t>Laptop</t>
        </is>
      </c>
      <c r="D16" t="n">
        <v>1</v>
      </c>
      <c r="E16" s="14" t="n">
        <v>66073.19</v>
      </c>
      <c r="F16" s="15" t="n">
        <v>0.05</v>
      </c>
      <c r="G16" s="14" t="n">
        <v>62769.53</v>
      </c>
    </row>
    <row r="17">
      <c r="A17" t="inlineStr">
        <is>
          <t>ORD-0033</t>
        </is>
      </c>
      <c r="B17" s="13" t="n">
        <v>46210</v>
      </c>
      <c r="C17" t="inlineStr">
        <is>
          <t>External HDD</t>
        </is>
      </c>
      <c r="D17" t="n">
        <v>1</v>
      </c>
      <c r="E17" s="14" t="n">
        <v>6831.59</v>
      </c>
      <c r="F17" s="15" t="n">
        <v>0</v>
      </c>
      <c r="G17" s="14" t="n">
        <v>6831.59</v>
      </c>
    </row>
    <row r="18">
      <c r="A18" t="inlineStr">
        <is>
          <t>ORD-0041</t>
        </is>
      </c>
      <c r="B18" s="13" t="n">
        <v>46210</v>
      </c>
      <c r="C18" t="inlineStr">
        <is>
          <t>Headphones</t>
        </is>
      </c>
      <c r="D18" t="n">
        <v>2</v>
      </c>
      <c r="E18" s="14" t="n">
        <v>3305.71</v>
      </c>
      <c r="F18" s="15" t="n">
        <v>0</v>
      </c>
      <c r="G18" s="14" t="n">
        <v>6611.42</v>
      </c>
    </row>
    <row r="19">
      <c r="A19" t="inlineStr">
        <is>
          <t>ORD-0103</t>
        </is>
      </c>
      <c r="B19" s="13" t="n">
        <v>46210</v>
      </c>
      <c r="C19" t="inlineStr">
        <is>
          <t>Laptop</t>
        </is>
      </c>
      <c r="D19" t="n">
        <v>3</v>
      </c>
      <c r="E19" s="14" t="n">
        <v>66170.98</v>
      </c>
      <c r="F19" s="15" t="n">
        <v>0.05</v>
      </c>
      <c r="G19" s="14" t="n">
        <v>188587.29</v>
      </c>
    </row>
    <row r="20">
      <c r="A20" t="inlineStr">
        <is>
          <t>ORD-0003</t>
        </is>
      </c>
      <c r="B20" s="13" t="n">
        <v>46211</v>
      </c>
      <c r="C20" t="inlineStr">
        <is>
          <t>Power Bank</t>
        </is>
      </c>
      <c r="D20" t="n">
        <v>1</v>
      </c>
      <c r="E20" s="14" t="n">
        <v>1892.18</v>
      </c>
      <c r="F20" s="15" t="n">
        <v>0</v>
      </c>
      <c r="G20" s="14" t="n">
        <v>1892.18</v>
      </c>
    </row>
    <row r="21">
      <c r="A21" t="inlineStr">
        <is>
          <t>ORD-0049</t>
        </is>
      </c>
      <c r="B21" s="13" t="n">
        <v>46211</v>
      </c>
      <c r="C21" t="inlineStr">
        <is>
          <t>Laptop</t>
        </is>
      </c>
      <c r="D21" t="n">
        <v>2</v>
      </c>
      <c r="E21" s="14" t="n">
        <v>62498.29</v>
      </c>
      <c r="F21" s="15" t="n">
        <v>0</v>
      </c>
      <c r="G21" s="14" t="n">
        <v>124996.58</v>
      </c>
    </row>
    <row r="22">
      <c r="A22" t="inlineStr">
        <is>
          <t>ORD-0053</t>
        </is>
      </c>
      <c r="B22" s="13" t="n">
        <v>46211</v>
      </c>
      <c r="C22" t="inlineStr">
        <is>
          <t>WiFi Adapter</t>
        </is>
      </c>
      <c r="D22" t="n">
        <v>1</v>
      </c>
      <c r="E22" s="14" t="n">
        <v>1110.71</v>
      </c>
      <c r="F22" s="15" t="n">
        <v>0.05</v>
      </c>
      <c r="G22" s="14" t="n">
        <v>1055.17</v>
      </c>
    </row>
    <row r="23">
      <c r="A23" t="inlineStr">
        <is>
          <t>ORD-0068</t>
        </is>
      </c>
      <c r="B23" s="13" t="n">
        <v>46211</v>
      </c>
      <c r="C23" t="inlineStr">
        <is>
          <t>SSD 1TB</t>
        </is>
      </c>
      <c r="D23" t="n">
        <v>1</v>
      </c>
      <c r="E23" s="14" t="n">
        <v>6918.89</v>
      </c>
      <c r="F23" s="15" t="n">
        <v>0</v>
      </c>
      <c r="G23" s="14" t="n">
        <v>6918.89</v>
      </c>
    </row>
    <row r="24">
      <c r="A24" t="inlineStr">
        <is>
          <t>ORD-0098</t>
        </is>
      </c>
      <c r="B24" s="13" t="n">
        <v>46211</v>
      </c>
      <c r="C24" t="inlineStr">
        <is>
          <t>Webcam</t>
        </is>
      </c>
      <c r="D24" t="n">
        <v>2</v>
      </c>
      <c r="E24" s="14" t="n">
        <v>2672.97</v>
      </c>
      <c r="F24" s="15" t="n">
        <v>0.02</v>
      </c>
      <c r="G24" s="14" t="n">
        <v>5239.02</v>
      </c>
    </row>
    <row r="25">
      <c r="A25" t="inlineStr">
        <is>
          <t>ORD-0110</t>
        </is>
      </c>
      <c r="B25" s="13" t="n">
        <v>46211</v>
      </c>
      <c r="C25" t="inlineStr">
        <is>
          <t>Tablet</t>
        </is>
      </c>
      <c r="D25" t="n">
        <v>1</v>
      </c>
      <c r="E25" s="14" t="n">
        <v>22343.23</v>
      </c>
      <c r="F25" s="15" t="n">
        <v>0.05</v>
      </c>
      <c r="G25" s="14" t="n">
        <v>21226.07</v>
      </c>
    </row>
    <row r="26">
      <c r="A26" t="inlineStr">
        <is>
          <t>ORD-0119</t>
        </is>
      </c>
      <c r="B26" s="13" t="n">
        <v>46211</v>
      </c>
      <c r="C26" t="inlineStr">
        <is>
          <t>Tablet</t>
        </is>
      </c>
      <c r="D26" t="n">
        <v>1</v>
      </c>
      <c r="E26" s="14" t="n">
        <v>21484.42</v>
      </c>
      <c r="F26" s="15" t="n">
        <v>0</v>
      </c>
      <c r="G26" s="14" t="n">
        <v>21484.42</v>
      </c>
    </row>
    <row r="27">
      <c r="A27" t="inlineStr">
        <is>
          <t>ORD-0132</t>
        </is>
      </c>
      <c r="B27" s="13" t="n">
        <v>46211</v>
      </c>
      <c r="C27" t="inlineStr">
        <is>
          <t>External HDD</t>
        </is>
      </c>
      <c r="D27" t="n">
        <v>1</v>
      </c>
      <c r="E27" s="14" t="n">
        <v>6886.46</v>
      </c>
      <c r="F27" s="15" t="n">
        <v>0.1</v>
      </c>
      <c r="G27" s="14" t="n">
        <v>6197.81</v>
      </c>
    </row>
    <row r="28">
      <c r="A28" t="inlineStr">
        <is>
          <t>ORD-0010</t>
        </is>
      </c>
      <c r="B28" s="13" t="n">
        <v>46212</v>
      </c>
      <c r="C28" t="inlineStr">
        <is>
          <t>SSD 1TB</t>
        </is>
      </c>
      <c r="D28" t="n">
        <v>1</v>
      </c>
      <c r="E28" s="14" t="n">
        <v>7346.72</v>
      </c>
      <c r="F28" s="15" t="n">
        <v>0</v>
      </c>
      <c r="G28" s="14" t="n">
        <v>7346.72</v>
      </c>
    </row>
    <row r="29">
      <c r="A29" t="inlineStr">
        <is>
          <t>ORD-0039</t>
        </is>
      </c>
      <c r="B29" s="13" t="n">
        <v>46212</v>
      </c>
      <c r="C29" t="inlineStr">
        <is>
          <t>Power Bank</t>
        </is>
      </c>
      <c r="D29" t="n">
        <v>1</v>
      </c>
      <c r="E29" s="14" t="n">
        <v>1837.2</v>
      </c>
      <c r="F29" s="15" t="n">
        <v>0</v>
      </c>
      <c r="G29" s="14" t="n">
        <v>1837.2</v>
      </c>
    </row>
    <row r="30">
      <c r="A30" t="inlineStr">
        <is>
          <t>ORD-0055</t>
        </is>
      </c>
      <c r="B30" s="13" t="n">
        <v>46212</v>
      </c>
      <c r="C30" t="inlineStr">
        <is>
          <t>Gaming Chair</t>
        </is>
      </c>
      <c r="D30" t="n">
        <v>1</v>
      </c>
      <c r="E30" s="14" t="n">
        <v>13334.08</v>
      </c>
      <c r="F30" s="15" t="n">
        <v>0.08</v>
      </c>
      <c r="G30" s="14" t="n">
        <v>12267.35</v>
      </c>
    </row>
    <row r="31">
      <c r="A31" t="inlineStr">
        <is>
          <t>ORD-0086</t>
        </is>
      </c>
      <c r="B31" s="13" t="n">
        <v>46212</v>
      </c>
      <c r="C31" t="inlineStr">
        <is>
          <t>Smartwatch</t>
        </is>
      </c>
      <c r="D31" t="n">
        <v>2</v>
      </c>
      <c r="E31" s="14" t="n">
        <v>5561.83</v>
      </c>
      <c r="F31" s="15" t="n">
        <v>0.05</v>
      </c>
      <c r="G31" s="14" t="n">
        <v>10567.48</v>
      </c>
    </row>
    <row r="32">
      <c r="A32" t="inlineStr">
        <is>
          <t>ORD-0105</t>
        </is>
      </c>
      <c r="B32" s="13" t="n">
        <v>46212</v>
      </c>
      <c r="C32" t="inlineStr">
        <is>
          <t>SSD 1TB</t>
        </is>
      </c>
      <c r="D32" t="n">
        <v>1</v>
      </c>
      <c r="E32" s="14" t="n">
        <v>7554.79</v>
      </c>
      <c r="F32" s="15" t="n">
        <v>0</v>
      </c>
      <c r="G32" s="14" t="n">
        <v>7554.79</v>
      </c>
    </row>
    <row r="33">
      <c r="A33" t="inlineStr">
        <is>
          <t>ORD-0137</t>
        </is>
      </c>
      <c r="B33" s="13" t="n">
        <v>46212</v>
      </c>
      <c r="C33" t="inlineStr">
        <is>
          <t>External HDD</t>
        </is>
      </c>
      <c r="D33" t="n">
        <v>1</v>
      </c>
      <c r="E33" s="14" t="n">
        <v>6172.44</v>
      </c>
      <c r="F33" s="15" t="n">
        <v>0</v>
      </c>
      <c r="G33" s="14" t="n">
        <v>6172.44</v>
      </c>
    </row>
    <row r="34">
      <c r="A34" t="inlineStr">
        <is>
          <t>ORD-0008</t>
        </is>
      </c>
      <c r="B34" s="13" t="n">
        <v>46213</v>
      </c>
      <c r="C34" t="inlineStr">
        <is>
          <t>Power Bank</t>
        </is>
      </c>
      <c r="D34" t="n">
        <v>1</v>
      </c>
      <c r="E34" s="14" t="n">
        <v>1900.98</v>
      </c>
      <c r="F34" s="15" t="n">
        <v>0.05</v>
      </c>
      <c r="G34" s="14" t="n">
        <v>1805.93</v>
      </c>
    </row>
    <row r="35">
      <c r="A35" t="inlineStr">
        <is>
          <t>ORD-0023</t>
        </is>
      </c>
      <c r="B35" s="13" t="n">
        <v>46213</v>
      </c>
      <c r="C35" t="inlineStr">
        <is>
          <t>Smartwatch</t>
        </is>
      </c>
      <c r="D35" t="n">
        <v>1</v>
      </c>
      <c r="E35" s="14" t="n">
        <v>5629.57</v>
      </c>
      <c r="F35" s="15" t="n">
        <v>0</v>
      </c>
      <c r="G35" s="14" t="n">
        <v>5629.57</v>
      </c>
    </row>
    <row r="36">
      <c r="A36" t="inlineStr">
        <is>
          <t>ORD-0066</t>
        </is>
      </c>
      <c r="B36" s="13" t="n">
        <v>46213</v>
      </c>
      <c r="C36" t="inlineStr">
        <is>
          <t>Printer</t>
        </is>
      </c>
      <c r="D36" t="n">
        <v>2</v>
      </c>
      <c r="E36" s="14" t="n">
        <v>11965.81</v>
      </c>
      <c r="F36" s="15" t="n">
        <v>0</v>
      </c>
      <c r="G36" s="14" t="n">
        <v>23931.62</v>
      </c>
    </row>
    <row r="37">
      <c r="A37" t="inlineStr">
        <is>
          <t>ORD-0118</t>
        </is>
      </c>
      <c r="B37" s="13" t="n">
        <v>46213</v>
      </c>
      <c r="C37" t="inlineStr">
        <is>
          <t>Monitor</t>
        </is>
      </c>
      <c r="D37" t="n">
        <v>1</v>
      </c>
      <c r="E37" s="14" t="n">
        <v>14455.05</v>
      </c>
      <c r="F37" s="15" t="n">
        <v>0</v>
      </c>
      <c r="G37" s="14" t="n">
        <v>14455.05</v>
      </c>
    </row>
    <row r="38">
      <c r="A38" t="inlineStr">
        <is>
          <t>ORD-0139</t>
        </is>
      </c>
      <c r="B38" s="13" t="n">
        <v>46215</v>
      </c>
      <c r="C38" t="inlineStr">
        <is>
          <t>Headphones</t>
        </is>
      </c>
      <c r="D38" t="n">
        <v>2</v>
      </c>
      <c r="E38" s="14" t="n">
        <v>3387.8</v>
      </c>
      <c r="F38" s="15" t="n">
        <v>0</v>
      </c>
      <c r="G38" s="14" t="n">
        <v>6775.6</v>
      </c>
    </row>
    <row r="39">
      <c r="A39" t="inlineStr">
        <is>
          <t>ORD-0148</t>
        </is>
      </c>
      <c r="B39" s="13" t="n">
        <v>46215</v>
      </c>
      <c r="C39" t="inlineStr">
        <is>
          <t>Headphones</t>
        </is>
      </c>
      <c r="D39" t="n">
        <v>1</v>
      </c>
      <c r="E39" s="14" t="n">
        <v>3478.25</v>
      </c>
      <c r="F39" s="15" t="n">
        <v>0.08</v>
      </c>
      <c r="G39" s="14" t="n">
        <v>3199.99</v>
      </c>
    </row>
    <row r="40">
      <c r="A40" t="inlineStr">
        <is>
          <t>ORD-0054</t>
        </is>
      </c>
      <c r="B40" s="13" t="n">
        <v>46216</v>
      </c>
      <c r="C40" t="inlineStr">
        <is>
          <t>Webcam</t>
        </is>
      </c>
      <c r="D40" t="n">
        <v>2</v>
      </c>
      <c r="E40" s="14" t="n">
        <v>2880.3</v>
      </c>
      <c r="F40" s="15" t="n">
        <v>0.05</v>
      </c>
      <c r="G40" s="14" t="n">
        <v>5472.57</v>
      </c>
    </row>
    <row r="41">
      <c r="A41" t="inlineStr">
        <is>
          <t>ORD-0079</t>
        </is>
      </c>
      <c r="B41" s="13" t="n">
        <v>46218</v>
      </c>
      <c r="C41" t="inlineStr">
        <is>
          <t>USB Hub</t>
        </is>
      </c>
      <c r="D41" t="n">
        <v>1</v>
      </c>
      <c r="E41" s="14" t="n">
        <v>1468.95</v>
      </c>
      <c r="F41" s="15" t="n">
        <v>0</v>
      </c>
      <c r="G41" s="14" t="n">
        <v>1468.95</v>
      </c>
    </row>
    <row r="42">
      <c r="A42" t="inlineStr">
        <is>
          <t>ORD-0044</t>
        </is>
      </c>
      <c r="B42" s="13" t="n">
        <v>46219</v>
      </c>
      <c r="C42" t="inlineStr">
        <is>
          <t>Mechanical Keyboard</t>
        </is>
      </c>
      <c r="D42" t="n">
        <v>2</v>
      </c>
      <c r="E42" s="14" t="n">
        <v>4537.87</v>
      </c>
      <c r="F42" s="15" t="n">
        <v>0</v>
      </c>
      <c r="G42" s="14" t="n">
        <v>9075.74</v>
      </c>
    </row>
    <row r="43">
      <c r="A43" t="inlineStr">
        <is>
          <t>ORD-0078</t>
        </is>
      </c>
      <c r="B43" s="13" t="n">
        <v>46220</v>
      </c>
      <c r="C43" t="inlineStr">
        <is>
          <t>Keyboard</t>
        </is>
      </c>
      <c r="D43" t="n">
        <v>1</v>
      </c>
      <c r="E43" s="14" t="n">
        <v>2178.06</v>
      </c>
      <c r="F43" s="15" t="n">
        <v>0.02</v>
      </c>
      <c r="G43" s="14" t="n">
        <v>2134.5</v>
      </c>
    </row>
    <row r="44">
      <c r="A44" t="inlineStr">
        <is>
          <t>ORD-0112</t>
        </is>
      </c>
      <c r="B44" s="13" t="n">
        <v>46220</v>
      </c>
      <c r="C44" t="inlineStr">
        <is>
          <t>Laptop</t>
        </is>
      </c>
      <c r="D44" t="n">
        <v>1</v>
      </c>
      <c r="E44" s="14" t="n">
        <v>65870.03999999999</v>
      </c>
      <c r="F44" s="15" t="n">
        <v>0.1</v>
      </c>
      <c r="G44" s="14" t="n">
        <v>59283.04</v>
      </c>
    </row>
    <row r="45">
      <c r="A45" t="inlineStr">
        <is>
          <t>ORD-0040</t>
        </is>
      </c>
      <c r="B45" s="13" t="n">
        <v>46221</v>
      </c>
      <c r="C45" t="inlineStr">
        <is>
          <t>Tablet</t>
        </is>
      </c>
      <c r="D45" t="n">
        <v>1</v>
      </c>
      <c r="E45" s="14" t="n">
        <v>22709.23</v>
      </c>
      <c r="F45" s="15" t="n">
        <v>0.05</v>
      </c>
      <c r="G45" s="14" t="n">
        <v>21573.77</v>
      </c>
    </row>
    <row r="46">
      <c r="A46" t="inlineStr">
        <is>
          <t>ORD-0057</t>
        </is>
      </c>
      <c r="B46" s="13" t="n">
        <v>46221</v>
      </c>
      <c r="C46" t="inlineStr">
        <is>
          <t>Power Bank</t>
        </is>
      </c>
      <c r="D46" t="n">
        <v>2</v>
      </c>
      <c r="E46" s="14" t="n">
        <v>1811.92</v>
      </c>
      <c r="F46" s="15" t="n">
        <v>0</v>
      </c>
      <c r="G46" s="14" t="n">
        <v>3623.84</v>
      </c>
    </row>
    <row r="47">
      <c r="A47" t="inlineStr">
        <is>
          <t>ORD-0020</t>
        </is>
      </c>
      <c r="B47" s="13" t="n">
        <v>46222</v>
      </c>
      <c r="C47" t="inlineStr">
        <is>
          <t>Mechanical Keyboard</t>
        </is>
      </c>
      <c r="D47" t="n">
        <v>1</v>
      </c>
      <c r="E47" s="14" t="n">
        <v>4963.53</v>
      </c>
      <c r="F47" s="15" t="n">
        <v>0.02</v>
      </c>
      <c r="G47" s="14" t="n">
        <v>4864.26</v>
      </c>
    </row>
    <row r="48">
      <c r="A48" t="inlineStr">
        <is>
          <t>ORD-0029</t>
        </is>
      </c>
      <c r="B48" s="13" t="n">
        <v>46222</v>
      </c>
      <c r="C48" t="inlineStr">
        <is>
          <t>Smartwatch</t>
        </is>
      </c>
      <c r="D48" t="n">
        <v>1</v>
      </c>
      <c r="E48" s="14" t="n">
        <v>5735.37</v>
      </c>
      <c r="F48" s="15" t="n">
        <v>0</v>
      </c>
      <c r="G48" s="14" t="n">
        <v>5735.37</v>
      </c>
    </row>
    <row r="49">
      <c r="A49" t="inlineStr">
        <is>
          <t>ORD-0056</t>
        </is>
      </c>
      <c r="B49" s="13" t="n">
        <v>46222</v>
      </c>
      <c r="C49" t="inlineStr">
        <is>
          <t>WiFi Adapter</t>
        </is>
      </c>
      <c r="D49" t="n">
        <v>1</v>
      </c>
      <c r="E49" s="14" t="n">
        <v>1160.14</v>
      </c>
      <c r="F49" s="15" t="n">
        <v>0.05</v>
      </c>
      <c r="G49" s="14" t="n">
        <v>1102.13</v>
      </c>
    </row>
    <row r="50">
      <c r="A50" t="inlineStr">
        <is>
          <t>ORD-0101</t>
        </is>
      </c>
      <c r="B50" s="13" t="n">
        <v>46222</v>
      </c>
      <c r="C50" t="inlineStr">
        <is>
          <t>Laptop</t>
        </is>
      </c>
      <c r="D50" t="n">
        <v>2</v>
      </c>
      <c r="E50" s="14" t="n">
        <v>61962.59</v>
      </c>
      <c r="F50" s="15" t="n">
        <v>0.05</v>
      </c>
      <c r="G50" s="14" t="n">
        <v>117728.92</v>
      </c>
    </row>
    <row r="51">
      <c r="A51" t="inlineStr">
        <is>
          <t>ORD-0140</t>
        </is>
      </c>
      <c r="B51" s="13" t="n">
        <v>46222</v>
      </c>
      <c r="C51" t="inlineStr">
        <is>
          <t>Monitor</t>
        </is>
      </c>
      <c r="D51" t="n">
        <v>1</v>
      </c>
      <c r="E51" s="14" t="n">
        <v>14488.32</v>
      </c>
      <c r="F51" s="15" t="n">
        <v>0.02</v>
      </c>
      <c r="G51" s="14" t="n">
        <v>14198.55</v>
      </c>
    </row>
    <row r="52">
      <c r="A52" t="inlineStr">
        <is>
          <t>ORD-0043</t>
        </is>
      </c>
      <c r="B52" s="13" t="n">
        <v>46223</v>
      </c>
      <c r="C52" t="inlineStr">
        <is>
          <t>WiFi Adapter</t>
        </is>
      </c>
      <c r="D52" t="n">
        <v>2</v>
      </c>
      <c r="E52" s="14" t="n">
        <v>1101.99</v>
      </c>
      <c r="F52" s="15" t="n">
        <v>0</v>
      </c>
      <c r="G52" s="14" t="n">
        <v>2203.98</v>
      </c>
    </row>
    <row r="53">
      <c r="A53" t="inlineStr">
        <is>
          <t>ORD-0070</t>
        </is>
      </c>
      <c r="B53" s="13" t="n">
        <v>46223</v>
      </c>
      <c r="C53" t="inlineStr">
        <is>
          <t>Gaming Chair</t>
        </is>
      </c>
      <c r="D53" t="n">
        <v>1</v>
      </c>
      <c r="E53" s="14" t="n">
        <v>14068.83</v>
      </c>
      <c r="F53" s="15" t="n">
        <v>0.08</v>
      </c>
      <c r="G53" s="14" t="n">
        <v>12943.32</v>
      </c>
    </row>
    <row r="54">
      <c r="A54" t="inlineStr">
        <is>
          <t>ORD-0130</t>
        </is>
      </c>
      <c r="B54" s="13" t="n">
        <v>46223</v>
      </c>
      <c r="C54" t="inlineStr">
        <is>
          <t>Smartwatch</t>
        </is>
      </c>
      <c r="D54" t="n">
        <v>1</v>
      </c>
      <c r="E54" s="14" t="n">
        <v>5715.93</v>
      </c>
      <c r="F54" s="15" t="n">
        <v>0</v>
      </c>
      <c r="G54" s="14" t="n">
        <v>5715.93</v>
      </c>
    </row>
    <row r="55">
      <c r="A55" t="inlineStr">
        <is>
          <t>ORD-0149</t>
        </is>
      </c>
      <c r="B55" s="13" t="n">
        <v>46223</v>
      </c>
      <c r="C55" t="inlineStr">
        <is>
          <t>Webcam</t>
        </is>
      </c>
      <c r="D55" t="n">
        <v>1</v>
      </c>
      <c r="E55" s="14" t="n">
        <v>2725.42</v>
      </c>
      <c r="F55" s="15" t="n">
        <v>0</v>
      </c>
      <c r="G55" s="14" t="n">
        <v>2725.42</v>
      </c>
    </row>
    <row r="56">
      <c r="A56" t="inlineStr">
        <is>
          <t>ORD-0009</t>
        </is>
      </c>
      <c r="B56" s="13" t="n">
        <v>46224</v>
      </c>
      <c r="C56" t="inlineStr">
        <is>
          <t>Webcam</t>
        </is>
      </c>
      <c r="D56" t="n">
        <v>1</v>
      </c>
      <c r="E56" s="14" t="n">
        <v>2695.66</v>
      </c>
      <c r="F56" s="15" t="n">
        <v>0.02</v>
      </c>
      <c r="G56" s="14" t="n">
        <v>2641.75</v>
      </c>
    </row>
    <row r="57">
      <c r="A57" t="inlineStr">
        <is>
          <t>ORD-0093</t>
        </is>
      </c>
      <c r="B57" s="13" t="n">
        <v>46224</v>
      </c>
      <c r="C57" t="inlineStr">
        <is>
          <t>Smartwatch</t>
        </is>
      </c>
      <c r="D57" t="n">
        <v>2</v>
      </c>
      <c r="E57" s="14" t="n">
        <v>5348.55</v>
      </c>
      <c r="F57" s="15" t="n">
        <v>0.05</v>
      </c>
      <c r="G57" s="14" t="n">
        <v>10162.24</v>
      </c>
    </row>
    <row r="58">
      <c r="A58" t="inlineStr">
        <is>
          <t>ORD-0025</t>
        </is>
      </c>
      <c r="B58" s="13" t="n">
        <v>46226</v>
      </c>
      <c r="C58" t="inlineStr">
        <is>
          <t>USB Hub</t>
        </is>
      </c>
      <c r="D58" t="n">
        <v>1</v>
      </c>
      <c r="E58" s="14" t="n">
        <v>1583.14</v>
      </c>
      <c r="F58" s="15" t="n">
        <v>0</v>
      </c>
      <c r="G58" s="14" t="n">
        <v>1583.14</v>
      </c>
    </row>
    <row r="59">
      <c r="A59" t="inlineStr">
        <is>
          <t>ORD-0094</t>
        </is>
      </c>
      <c r="B59" s="13" t="n">
        <v>46226</v>
      </c>
      <c r="C59" t="inlineStr">
        <is>
          <t>Bluetooth Speaker</t>
        </is>
      </c>
      <c r="D59" t="n">
        <v>1</v>
      </c>
      <c r="E59" s="14" t="n">
        <v>3064.75</v>
      </c>
      <c r="F59" s="15" t="n">
        <v>0</v>
      </c>
      <c r="G59" s="14" t="n">
        <v>3064.75</v>
      </c>
    </row>
    <row r="60">
      <c r="A60" t="inlineStr">
        <is>
          <t>ORD-0143</t>
        </is>
      </c>
      <c r="B60" s="13" t="n">
        <v>46226</v>
      </c>
      <c r="C60" t="inlineStr">
        <is>
          <t>Smartwatch</t>
        </is>
      </c>
      <c r="D60" t="n">
        <v>1</v>
      </c>
      <c r="E60" s="14" t="n">
        <v>5727.36</v>
      </c>
      <c r="F60" s="15" t="n">
        <v>0</v>
      </c>
      <c r="G60" s="14" t="n">
        <v>5727.36</v>
      </c>
    </row>
    <row r="61">
      <c r="A61" t="inlineStr">
        <is>
          <t>ORD-0063</t>
        </is>
      </c>
      <c r="B61" s="13" t="n">
        <v>46227</v>
      </c>
      <c r="C61" t="inlineStr">
        <is>
          <t>Tablet</t>
        </is>
      </c>
      <c r="D61" t="n">
        <v>1</v>
      </c>
      <c r="E61" s="14" t="n">
        <v>22970.18</v>
      </c>
      <c r="F61" s="15" t="n">
        <v>0.05</v>
      </c>
      <c r="G61" s="14" t="n">
        <v>21821.67</v>
      </c>
    </row>
    <row r="62">
      <c r="A62" t="inlineStr">
        <is>
          <t>ORD-0080</t>
        </is>
      </c>
      <c r="B62" s="13" t="n">
        <v>46227</v>
      </c>
      <c r="C62" t="inlineStr">
        <is>
          <t>Webcam</t>
        </is>
      </c>
      <c r="D62" t="n">
        <v>1</v>
      </c>
      <c r="E62" s="14" t="n">
        <v>2950.82</v>
      </c>
      <c r="F62" s="15" t="n">
        <v>0</v>
      </c>
      <c r="G62" s="14" t="n">
        <v>2950.82</v>
      </c>
    </row>
    <row r="63">
      <c r="A63" t="inlineStr">
        <is>
          <t>ORD-0097</t>
        </is>
      </c>
      <c r="B63" s="13" t="n">
        <v>46227</v>
      </c>
      <c r="C63" t="inlineStr">
        <is>
          <t>Tablet</t>
        </is>
      </c>
      <c r="D63" t="n">
        <v>3</v>
      </c>
      <c r="E63" s="14" t="n">
        <v>23191.15</v>
      </c>
      <c r="F63" s="15" t="n">
        <v>0.05</v>
      </c>
      <c r="G63" s="14" t="n">
        <v>66094.78</v>
      </c>
    </row>
    <row r="64">
      <c r="A64" t="inlineStr">
        <is>
          <t>ORD-0134</t>
        </is>
      </c>
      <c r="B64" s="13" t="n">
        <v>46228</v>
      </c>
      <c r="C64" t="inlineStr">
        <is>
          <t>Bluetooth Speaker</t>
        </is>
      </c>
      <c r="D64" t="n">
        <v>1</v>
      </c>
      <c r="E64" s="14" t="n">
        <v>3088.28</v>
      </c>
      <c r="F64" s="15" t="n">
        <v>0</v>
      </c>
      <c r="G64" s="14" t="n">
        <v>3088.28</v>
      </c>
    </row>
    <row r="65">
      <c r="A65" t="inlineStr">
        <is>
          <t>ORD-0121</t>
        </is>
      </c>
      <c r="B65" s="13" t="n">
        <v>46229</v>
      </c>
      <c r="C65" t="inlineStr">
        <is>
          <t>Monitor</t>
        </is>
      </c>
      <c r="D65" t="n">
        <v>1</v>
      </c>
      <c r="E65" s="14" t="n">
        <v>14181.65</v>
      </c>
      <c r="F65" s="15" t="n">
        <v>0.02</v>
      </c>
      <c r="G65" s="14" t="n">
        <v>13898.02</v>
      </c>
    </row>
    <row r="66">
      <c r="A66" t="inlineStr">
        <is>
          <t>ORD-0045</t>
        </is>
      </c>
      <c r="B66" s="13" t="n">
        <v>46230</v>
      </c>
      <c r="C66" t="inlineStr">
        <is>
          <t>Mouse</t>
        </is>
      </c>
      <c r="D66" t="n">
        <v>3</v>
      </c>
      <c r="E66" s="14" t="n">
        <v>1235.8</v>
      </c>
      <c r="F66" s="15" t="n">
        <v>0.08</v>
      </c>
      <c r="G66" s="14" t="n">
        <v>3410.81</v>
      </c>
    </row>
    <row r="67">
      <c r="A67" t="inlineStr">
        <is>
          <t>ORD-0120</t>
        </is>
      </c>
      <c r="B67" s="13" t="n">
        <v>46230</v>
      </c>
      <c r="C67" t="inlineStr">
        <is>
          <t>USB Hub</t>
        </is>
      </c>
      <c r="D67" t="n">
        <v>1</v>
      </c>
      <c r="E67" s="14" t="n">
        <v>1484.13</v>
      </c>
      <c r="F67" s="15" t="n">
        <v>0.02</v>
      </c>
      <c r="G67" s="14" t="n">
        <v>1454.45</v>
      </c>
    </row>
    <row r="68">
      <c r="A68" t="inlineStr">
        <is>
          <t>ORD-0125</t>
        </is>
      </c>
      <c r="B68" s="13" t="n">
        <v>46230</v>
      </c>
      <c r="C68" t="inlineStr">
        <is>
          <t>Monitor</t>
        </is>
      </c>
      <c r="D68" t="n">
        <v>1</v>
      </c>
      <c r="E68" s="14" t="n">
        <v>14522.17</v>
      </c>
      <c r="F68" s="15" t="n">
        <v>0</v>
      </c>
      <c r="G68" s="14" t="n">
        <v>14522.17</v>
      </c>
    </row>
    <row r="69">
      <c r="A69" t="inlineStr">
        <is>
          <t>ORD-0011</t>
        </is>
      </c>
      <c r="B69" s="13" t="n">
        <v>46231</v>
      </c>
      <c r="C69" t="inlineStr">
        <is>
          <t>Mechanical Keyboard</t>
        </is>
      </c>
      <c r="D69" t="n">
        <v>2</v>
      </c>
      <c r="E69" s="14" t="n">
        <v>4691.92</v>
      </c>
      <c r="F69" s="15" t="n">
        <v>0.05</v>
      </c>
      <c r="G69" s="14" t="n">
        <v>8914.65</v>
      </c>
    </row>
    <row r="70">
      <c r="A70" t="inlineStr">
        <is>
          <t>ORD-0024</t>
        </is>
      </c>
      <c r="B70" s="13" t="n">
        <v>46231</v>
      </c>
      <c r="C70" t="inlineStr">
        <is>
          <t>SSD 1TB</t>
        </is>
      </c>
      <c r="D70" t="n">
        <v>1</v>
      </c>
      <c r="E70" s="14" t="n">
        <v>7312.56</v>
      </c>
      <c r="F70" s="15" t="n">
        <v>0</v>
      </c>
      <c r="G70" s="14" t="n">
        <v>7312.56</v>
      </c>
    </row>
    <row r="71">
      <c r="A71" t="inlineStr">
        <is>
          <t>ORD-0038</t>
        </is>
      </c>
      <c r="B71" s="13" t="n">
        <v>46231</v>
      </c>
      <c r="C71" t="inlineStr">
        <is>
          <t>Gaming Chair</t>
        </is>
      </c>
      <c r="D71" t="n">
        <v>1</v>
      </c>
      <c r="E71" s="14" t="n">
        <v>14141.78</v>
      </c>
      <c r="F71" s="15" t="n">
        <v>0.05</v>
      </c>
      <c r="G71" s="14" t="n">
        <v>13434.69</v>
      </c>
    </row>
    <row r="72">
      <c r="A72" t="inlineStr">
        <is>
          <t>ORD-0015</t>
        </is>
      </c>
      <c r="B72" s="13" t="n">
        <v>46232</v>
      </c>
      <c r="C72" t="inlineStr">
        <is>
          <t>Router</t>
        </is>
      </c>
      <c r="D72" t="n">
        <v>1</v>
      </c>
      <c r="E72" s="14" t="n">
        <v>4005.72</v>
      </c>
      <c r="F72" s="15" t="n">
        <v>0</v>
      </c>
      <c r="G72" s="14" t="n">
        <v>4005.72</v>
      </c>
    </row>
    <row r="73">
      <c r="A73" t="inlineStr">
        <is>
          <t>ORD-0060</t>
        </is>
      </c>
      <c r="B73" s="13" t="n">
        <v>46232</v>
      </c>
      <c r="C73" t="inlineStr">
        <is>
          <t>Webcam</t>
        </is>
      </c>
      <c r="D73" t="n">
        <v>1</v>
      </c>
      <c r="E73" s="14" t="n">
        <v>2668.67</v>
      </c>
      <c r="F73" s="15" t="n">
        <v>0</v>
      </c>
      <c r="G73" s="14" t="n">
        <v>2668.67</v>
      </c>
    </row>
    <row r="74">
      <c r="A74" t="inlineStr">
        <is>
          <t>ORD-0064</t>
        </is>
      </c>
      <c r="B74" s="13" t="n">
        <v>46232</v>
      </c>
      <c r="C74" t="inlineStr">
        <is>
          <t>Mouse</t>
        </is>
      </c>
      <c r="D74" t="n">
        <v>1</v>
      </c>
      <c r="E74" s="14" t="n">
        <v>1235.43</v>
      </c>
      <c r="F74" s="15" t="n">
        <v>0</v>
      </c>
      <c r="G74" s="14" t="n">
        <v>1235.43</v>
      </c>
    </row>
    <row r="75">
      <c r="A75" t="inlineStr">
        <is>
          <t>ORD-0037</t>
        </is>
      </c>
      <c r="B75" s="13" t="n">
        <v>46233</v>
      </c>
      <c r="C75" t="inlineStr">
        <is>
          <t>Power Bank</t>
        </is>
      </c>
      <c r="D75" t="n">
        <v>1</v>
      </c>
      <c r="E75" s="14" t="n">
        <v>1804.47</v>
      </c>
      <c r="F75" s="15" t="n">
        <v>0</v>
      </c>
      <c r="G75" s="14" t="n">
        <v>1804.47</v>
      </c>
    </row>
    <row r="76">
      <c r="A76" t="inlineStr">
        <is>
          <t>ORD-0144</t>
        </is>
      </c>
      <c r="B76" s="13" t="n">
        <v>46233</v>
      </c>
      <c r="C76" t="inlineStr">
        <is>
          <t>Headphones</t>
        </is>
      </c>
      <c r="D76" t="n">
        <v>1</v>
      </c>
      <c r="E76" s="14" t="n">
        <v>3502.01</v>
      </c>
      <c r="F76" s="15" t="n">
        <v>0.08</v>
      </c>
      <c r="G76" s="14" t="n">
        <v>3221.85</v>
      </c>
    </row>
    <row r="77">
      <c r="A77" t="inlineStr">
        <is>
          <t>ORD-0036</t>
        </is>
      </c>
      <c r="B77" s="13" t="n">
        <v>46234</v>
      </c>
      <c r="C77" t="inlineStr">
        <is>
          <t>Mouse</t>
        </is>
      </c>
      <c r="D77" t="n">
        <v>1</v>
      </c>
      <c r="E77" s="14" t="n">
        <v>1210.33</v>
      </c>
      <c r="F77" s="15" t="n">
        <v>0.08</v>
      </c>
      <c r="G77" s="14" t="n">
        <v>1113.5</v>
      </c>
    </row>
    <row r="78">
      <c r="A78" t="inlineStr">
        <is>
          <t>ORD-0128</t>
        </is>
      </c>
      <c r="B78" s="13" t="n">
        <v>46234</v>
      </c>
      <c r="C78" t="inlineStr">
        <is>
          <t>Printer</t>
        </is>
      </c>
      <c r="D78" t="n">
        <v>1</v>
      </c>
      <c r="E78" s="14" t="n">
        <v>13012.99</v>
      </c>
      <c r="F78" s="15" t="n">
        <v>0</v>
      </c>
      <c r="G78" s="14" t="n">
        <v>13012.99</v>
      </c>
    </row>
    <row r="79">
      <c r="A79" t="inlineStr">
        <is>
          <t>ORD-0146</t>
        </is>
      </c>
      <c r="B79" s="13" t="n">
        <v>46234</v>
      </c>
      <c r="C79" t="inlineStr">
        <is>
          <t>Router</t>
        </is>
      </c>
      <c r="D79" t="n">
        <v>1</v>
      </c>
      <c r="E79" s="14" t="n">
        <v>4148.87</v>
      </c>
      <c r="F79" s="15" t="n">
        <v>0</v>
      </c>
      <c r="G79" s="14" t="n">
        <v>4148.87</v>
      </c>
    </row>
    <row r="80">
      <c r="A80" t="inlineStr">
        <is>
          <t>ORD-0073</t>
        </is>
      </c>
      <c r="B80" s="13" t="n">
        <v>46236</v>
      </c>
      <c r="C80" t="inlineStr">
        <is>
          <t>Mechanical Keyboard</t>
        </is>
      </c>
      <c r="D80" t="n">
        <v>1</v>
      </c>
      <c r="E80" s="14" t="n">
        <v>4541.93</v>
      </c>
      <c r="F80" s="15" t="n">
        <v>0.05</v>
      </c>
      <c r="G80" s="14" t="n">
        <v>4314.83</v>
      </c>
    </row>
    <row r="81">
      <c r="A81" t="inlineStr">
        <is>
          <t>ORD-0127</t>
        </is>
      </c>
      <c r="B81" s="13" t="n">
        <v>46236</v>
      </c>
      <c r="C81" t="inlineStr">
        <is>
          <t>Smartwatch</t>
        </is>
      </c>
      <c r="D81" t="n">
        <v>1</v>
      </c>
      <c r="E81" s="14" t="n">
        <v>5722.67</v>
      </c>
      <c r="F81" s="15" t="n">
        <v>0</v>
      </c>
      <c r="G81" s="14" t="n">
        <v>5722.67</v>
      </c>
    </row>
    <row r="82">
      <c r="A82" t="inlineStr">
        <is>
          <t>ORD-0135</t>
        </is>
      </c>
      <c r="B82" s="13" t="n">
        <v>46236</v>
      </c>
      <c r="C82" t="inlineStr">
        <is>
          <t>Bluetooth Speaker</t>
        </is>
      </c>
      <c r="D82" t="n">
        <v>1</v>
      </c>
      <c r="E82" s="14" t="n">
        <v>3329.14</v>
      </c>
      <c r="F82" s="15" t="n">
        <v>0</v>
      </c>
      <c r="G82" s="14" t="n">
        <v>3329.14</v>
      </c>
    </row>
    <row r="83">
      <c r="A83" t="inlineStr">
        <is>
          <t>ORD-0005</t>
        </is>
      </c>
      <c r="B83" s="13" t="n">
        <v>46238</v>
      </c>
      <c r="C83" t="inlineStr">
        <is>
          <t>Smartphone</t>
        </is>
      </c>
      <c r="D83" t="n">
        <v>1</v>
      </c>
      <c r="E83" s="14" t="n">
        <v>28442.39</v>
      </c>
      <c r="F83" s="15" t="n">
        <v>0.05</v>
      </c>
      <c r="G83" s="14" t="n">
        <v>27020.27</v>
      </c>
    </row>
    <row r="84">
      <c r="A84" t="inlineStr">
        <is>
          <t>ORD-0042</t>
        </is>
      </c>
      <c r="B84" s="13" t="n">
        <v>46238</v>
      </c>
      <c r="C84" t="inlineStr">
        <is>
          <t>Tablet</t>
        </is>
      </c>
      <c r="D84" t="n">
        <v>1</v>
      </c>
      <c r="E84" s="14" t="n">
        <v>22813.78</v>
      </c>
      <c r="F84" s="15" t="n">
        <v>0.05</v>
      </c>
      <c r="G84" s="14" t="n">
        <v>21673.09</v>
      </c>
    </row>
    <row r="85">
      <c r="A85" t="inlineStr">
        <is>
          <t>ORD-0096</t>
        </is>
      </c>
      <c r="B85" s="13" t="n">
        <v>46238</v>
      </c>
      <c r="C85" t="inlineStr">
        <is>
          <t>Monitor</t>
        </is>
      </c>
      <c r="D85" t="n">
        <v>2</v>
      </c>
      <c r="E85" s="14" t="n">
        <v>14464.1</v>
      </c>
      <c r="F85" s="15" t="n">
        <v>0.05</v>
      </c>
      <c r="G85" s="14" t="n">
        <v>27481.79</v>
      </c>
    </row>
    <row r="86">
      <c r="A86" t="inlineStr">
        <is>
          <t>ORD-0072</t>
        </is>
      </c>
      <c r="B86" s="13" t="n">
        <v>46239</v>
      </c>
      <c r="C86" t="inlineStr">
        <is>
          <t>USB Hub</t>
        </is>
      </c>
      <c r="D86" t="n">
        <v>1</v>
      </c>
      <c r="E86" s="14" t="n">
        <v>1477.25</v>
      </c>
      <c r="F86" s="15" t="n">
        <v>0</v>
      </c>
      <c r="G86" s="14" t="n">
        <v>1477.25</v>
      </c>
    </row>
    <row r="87">
      <c r="A87" t="inlineStr">
        <is>
          <t>ORD-0089</t>
        </is>
      </c>
      <c r="B87" s="13" t="n">
        <v>46239</v>
      </c>
      <c r="C87" t="inlineStr">
        <is>
          <t>Tablet</t>
        </is>
      </c>
      <c r="D87" t="n">
        <v>1</v>
      </c>
      <c r="E87" s="14" t="n">
        <v>22059.75</v>
      </c>
      <c r="F87" s="15" t="n">
        <v>0.02</v>
      </c>
      <c r="G87" s="14" t="n">
        <v>21618.56</v>
      </c>
    </row>
    <row r="88">
      <c r="A88" t="inlineStr">
        <is>
          <t>ORD-0116</t>
        </is>
      </c>
      <c r="B88" s="13" t="n">
        <v>46239</v>
      </c>
      <c r="C88" t="inlineStr">
        <is>
          <t>Desk Lamp</t>
        </is>
      </c>
      <c r="D88" t="n">
        <v>1</v>
      </c>
      <c r="E88" s="14" t="n">
        <v>1757.09</v>
      </c>
      <c r="F88" s="15" t="n">
        <v>0.08</v>
      </c>
      <c r="G88" s="14" t="n">
        <v>1616.52</v>
      </c>
    </row>
    <row r="89">
      <c r="A89" t="inlineStr">
        <is>
          <t>ORD-0117</t>
        </is>
      </c>
      <c r="B89" s="13" t="n">
        <v>46239</v>
      </c>
      <c r="C89" t="inlineStr">
        <is>
          <t>Webcam</t>
        </is>
      </c>
      <c r="D89" t="n">
        <v>1</v>
      </c>
      <c r="E89" s="14" t="n">
        <v>2948.04</v>
      </c>
      <c r="F89" s="15" t="n">
        <v>0.02</v>
      </c>
      <c r="G89" s="14" t="n">
        <v>2889.08</v>
      </c>
    </row>
    <row r="90">
      <c r="A90" t="inlineStr">
        <is>
          <t>ORD-0123</t>
        </is>
      </c>
      <c r="B90" s="13" t="n">
        <v>46239</v>
      </c>
      <c r="C90" t="inlineStr">
        <is>
          <t>Smartphone</t>
        </is>
      </c>
      <c r="D90" t="n">
        <v>1</v>
      </c>
      <c r="E90" s="14" t="n">
        <v>28497.11</v>
      </c>
      <c r="F90" s="15" t="n">
        <v>0.05</v>
      </c>
      <c r="G90" s="14" t="n">
        <v>27072.25</v>
      </c>
    </row>
    <row r="91">
      <c r="A91" t="inlineStr">
        <is>
          <t>ORD-0031</t>
        </is>
      </c>
      <c r="B91" s="13" t="n">
        <v>46240</v>
      </c>
      <c r="C91" t="inlineStr">
        <is>
          <t>Tablet</t>
        </is>
      </c>
      <c r="D91" t="n">
        <v>1</v>
      </c>
      <c r="E91" s="14" t="n">
        <v>21777.73</v>
      </c>
      <c r="F91" s="15" t="n">
        <v>0</v>
      </c>
      <c r="G91" s="14" t="n">
        <v>21777.73</v>
      </c>
    </row>
    <row r="92">
      <c r="A92" t="inlineStr">
        <is>
          <t>ORD-0034</t>
        </is>
      </c>
      <c r="B92" s="13" t="n">
        <v>46240</v>
      </c>
      <c r="C92" t="inlineStr">
        <is>
          <t>WiFi Adapter</t>
        </is>
      </c>
      <c r="D92" t="n">
        <v>1</v>
      </c>
      <c r="E92" s="14" t="n">
        <v>1037.01</v>
      </c>
      <c r="F92" s="15" t="n">
        <v>0.02</v>
      </c>
      <c r="G92" s="14" t="n">
        <v>1016.27</v>
      </c>
    </row>
    <row r="93">
      <c r="A93" t="inlineStr">
        <is>
          <t>ORD-0088</t>
        </is>
      </c>
      <c r="B93" s="13" t="n">
        <v>46240</v>
      </c>
      <c r="C93" t="inlineStr">
        <is>
          <t>Smartwatch</t>
        </is>
      </c>
      <c r="D93" t="n">
        <v>1</v>
      </c>
      <c r="E93" s="14" t="n">
        <v>5283.05</v>
      </c>
      <c r="F93" s="15" t="n">
        <v>0.02</v>
      </c>
      <c r="G93" s="14" t="n">
        <v>5177.39</v>
      </c>
    </row>
    <row r="94">
      <c r="A94" t="inlineStr">
        <is>
          <t>ORD-0099</t>
        </is>
      </c>
      <c r="B94" s="13" t="n">
        <v>46240</v>
      </c>
      <c r="C94" t="inlineStr">
        <is>
          <t>SSD 1TB</t>
        </is>
      </c>
      <c r="D94" t="n">
        <v>1</v>
      </c>
      <c r="E94" s="14" t="n">
        <v>7160.53</v>
      </c>
      <c r="F94" s="15" t="n">
        <v>0</v>
      </c>
      <c r="G94" s="14" t="n">
        <v>7160.53</v>
      </c>
    </row>
    <row r="95">
      <c r="A95" t="inlineStr">
        <is>
          <t>ORD-0050</t>
        </is>
      </c>
      <c r="B95" s="13" t="n">
        <v>46241</v>
      </c>
      <c r="C95" t="inlineStr">
        <is>
          <t>Printer</t>
        </is>
      </c>
      <c r="D95" t="n">
        <v>2</v>
      </c>
      <c r="E95" s="14" t="n">
        <v>12215.49</v>
      </c>
      <c r="F95" s="15" t="n">
        <v>0</v>
      </c>
      <c r="G95" s="14" t="n">
        <v>24430.98</v>
      </c>
    </row>
    <row r="96">
      <c r="A96" t="inlineStr">
        <is>
          <t>ORD-0062</t>
        </is>
      </c>
      <c r="B96" s="13" t="n">
        <v>46241</v>
      </c>
      <c r="C96" t="inlineStr">
        <is>
          <t>Bluetooth Speaker</t>
        </is>
      </c>
      <c r="D96" t="n">
        <v>2</v>
      </c>
      <c r="E96" s="14" t="n">
        <v>3166.43</v>
      </c>
      <c r="F96" s="15" t="n">
        <v>0.02</v>
      </c>
      <c r="G96" s="14" t="n">
        <v>6206.2</v>
      </c>
    </row>
    <row r="97">
      <c r="A97" t="inlineStr">
        <is>
          <t>ORD-0107</t>
        </is>
      </c>
      <c r="B97" s="13" t="n">
        <v>46241</v>
      </c>
      <c r="C97" t="inlineStr">
        <is>
          <t>Gaming Chair</t>
        </is>
      </c>
      <c r="D97" t="n">
        <v>2</v>
      </c>
      <c r="E97" s="14" t="n">
        <v>14066.04</v>
      </c>
      <c r="F97" s="15" t="n">
        <v>0</v>
      </c>
      <c r="G97" s="14" t="n">
        <v>28132.08</v>
      </c>
    </row>
    <row r="98">
      <c r="A98" t="inlineStr">
        <is>
          <t>ORD-0004</t>
        </is>
      </c>
      <c r="B98" s="13" t="n">
        <v>46243</v>
      </c>
      <c r="C98" t="inlineStr">
        <is>
          <t>Bluetooth Speaker</t>
        </is>
      </c>
      <c r="D98" t="n">
        <v>2</v>
      </c>
      <c r="E98" s="14" t="n">
        <v>3095.26</v>
      </c>
      <c r="F98" s="15" t="n">
        <v>0</v>
      </c>
      <c r="G98" s="14" t="n">
        <v>6190.52</v>
      </c>
    </row>
    <row r="99">
      <c r="A99" t="inlineStr">
        <is>
          <t>ORD-0017</t>
        </is>
      </c>
      <c r="B99" s="13" t="n">
        <v>46243</v>
      </c>
      <c r="C99" t="inlineStr">
        <is>
          <t>Router</t>
        </is>
      </c>
      <c r="D99" t="n">
        <v>1</v>
      </c>
      <c r="E99" s="14" t="n">
        <v>4101.19</v>
      </c>
      <c r="F99" s="15" t="n">
        <v>0.02</v>
      </c>
      <c r="G99" s="14" t="n">
        <v>4019.17</v>
      </c>
    </row>
    <row r="100">
      <c r="A100" t="inlineStr">
        <is>
          <t>ORD-0058</t>
        </is>
      </c>
      <c r="B100" s="13" t="n">
        <v>46243</v>
      </c>
      <c r="C100" t="inlineStr">
        <is>
          <t>Tablet</t>
        </is>
      </c>
      <c r="D100" t="n">
        <v>1</v>
      </c>
      <c r="E100" s="14" t="n">
        <v>21786.46</v>
      </c>
      <c r="F100" s="15" t="n">
        <v>0</v>
      </c>
      <c r="G100" s="14" t="n">
        <v>21786.46</v>
      </c>
    </row>
    <row r="101">
      <c r="A101" t="inlineStr">
        <is>
          <t>ORD-0083</t>
        </is>
      </c>
      <c r="B101" s="13" t="n">
        <v>46243</v>
      </c>
      <c r="C101" t="inlineStr">
        <is>
          <t>Bluetooth Speaker</t>
        </is>
      </c>
      <c r="D101" t="n">
        <v>1</v>
      </c>
      <c r="E101" s="14" t="n">
        <v>3085.72</v>
      </c>
      <c r="F101" s="15" t="n">
        <v>0.05</v>
      </c>
      <c r="G101" s="14" t="n">
        <v>2931.43</v>
      </c>
    </row>
    <row r="102">
      <c r="A102" t="inlineStr">
        <is>
          <t>ORD-0092</t>
        </is>
      </c>
      <c r="B102" s="13" t="n">
        <v>46244</v>
      </c>
      <c r="C102" t="inlineStr">
        <is>
          <t>SSD 1TB</t>
        </is>
      </c>
      <c r="D102" t="n">
        <v>1</v>
      </c>
      <c r="E102" s="14" t="n">
        <v>7347.94</v>
      </c>
      <c r="F102" s="15" t="n">
        <v>0.05</v>
      </c>
      <c r="G102" s="14" t="n">
        <v>6980.54</v>
      </c>
    </row>
    <row r="103">
      <c r="A103" t="inlineStr">
        <is>
          <t>ORD-0106</t>
        </is>
      </c>
      <c r="B103" s="13" t="n">
        <v>46244</v>
      </c>
      <c r="C103" t="inlineStr">
        <is>
          <t>Mouse</t>
        </is>
      </c>
      <c r="D103" t="n">
        <v>1</v>
      </c>
      <c r="E103" s="14" t="n">
        <v>1135.44</v>
      </c>
      <c r="F103" s="15" t="n">
        <v>0</v>
      </c>
      <c r="G103" s="14" t="n">
        <v>1135.44</v>
      </c>
    </row>
    <row r="104">
      <c r="A104" t="inlineStr">
        <is>
          <t>ORD-0124</t>
        </is>
      </c>
      <c r="B104" s="13" t="n">
        <v>46244</v>
      </c>
      <c r="C104" t="inlineStr">
        <is>
          <t>Router</t>
        </is>
      </c>
      <c r="D104" t="n">
        <v>1</v>
      </c>
      <c r="E104" s="14" t="n">
        <v>4224.77</v>
      </c>
      <c r="F104" s="15" t="n">
        <v>0.05</v>
      </c>
      <c r="G104" s="14" t="n">
        <v>4013.53</v>
      </c>
    </row>
    <row r="105">
      <c r="A105" t="inlineStr">
        <is>
          <t>ORD-0142</t>
        </is>
      </c>
      <c r="B105" s="13" t="n">
        <v>46244</v>
      </c>
      <c r="C105" t="inlineStr">
        <is>
          <t>Router</t>
        </is>
      </c>
      <c r="D105" t="n">
        <v>1</v>
      </c>
      <c r="E105" s="14" t="n">
        <v>3977.29</v>
      </c>
      <c r="F105" s="15" t="n">
        <v>0.05</v>
      </c>
      <c r="G105" s="14" t="n">
        <v>3778.43</v>
      </c>
    </row>
    <row r="106">
      <c r="A106" t="inlineStr">
        <is>
          <t>ORD-0016</t>
        </is>
      </c>
      <c r="B106" s="13" t="n">
        <v>46245</v>
      </c>
      <c r="C106" t="inlineStr">
        <is>
          <t>Webcam</t>
        </is>
      </c>
      <c r="D106" t="n">
        <v>1</v>
      </c>
      <c r="E106" s="14" t="n">
        <v>2889.04</v>
      </c>
      <c r="F106" s="15" t="n">
        <v>0.02</v>
      </c>
      <c r="G106" s="14" t="n">
        <v>2831.26</v>
      </c>
    </row>
    <row r="107">
      <c r="A107" t="inlineStr">
        <is>
          <t>ORD-0021</t>
        </is>
      </c>
      <c r="B107" s="13" t="n">
        <v>46245</v>
      </c>
      <c r="C107" t="inlineStr">
        <is>
          <t>WiFi Adapter</t>
        </is>
      </c>
      <c r="D107" t="n">
        <v>1</v>
      </c>
      <c r="E107" s="14" t="n">
        <v>1056.04</v>
      </c>
      <c r="F107" s="15" t="n">
        <v>0.05</v>
      </c>
      <c r="G107" s="14" t="n">
        <v>1003.24</v>
      </c>
    </row>
    <row r="108">
      <c r="A108" t="inlineStr">
        <is>
          <t>ORD-0013</t>
        </is>
      </c>
      <c r="B108" s="13" t="n">
        <v>46246</v>
      </c>
      <c r="C108" t="inlineStr">
        <is>
          <t>Keyboard</t>
        </is>
      </c>
      <c r="D108" t="n">
        <v>1</v>
      </c>
      <c r="E108" s="14" t="n">
        <v>2069.94</v>
      </c>
      <c r="F108" s="15" t="n">
        <v>0</v>
      </c>
      <c r="G108" s="14" t="n">
        <v>2069.94</v>
      </c>
    </row>
    <row r="109">
      <c r="A109" t="inlineStr">
        <is>
          <t>ORD-0084</t>
        </is>
      </c>
      <c r="B109" s="13" t="n">
        <v>46247</v>
      </c>
      <c r="C109" t="inlineStr">
        <is>
          <t>Router</t>
        </is>
      </c>
      <c r="D109" t="n">
        <v>2</v>
      </c>
      <c r="E109" s="14" t="n">
        <v>4257.65</v>
      </c>
      <c r="F109" s="15" t="n">
        <v>0</v>
      </c>
      <c r="G109" s="14" t="n">
        <v>8515.299999999999</v>
      </c>
    </row>
    <row r="110">
      <c r="A110" t="inlineStr">
        <is>
          <t>ORD-0109</t>
        </is>
      </c>
      <c r="B110" s="13" t="n">
        <v>46247</v>
      </c>
      <c r="C110" t="inlineStr">
        <is>
          <t>Gaming Chair</t>
        </is>
      </c>
      <c r="D110" t="n">
        <v>2</v>
      </c>
      <c r="E110" s="14" t="n">
        <v>13016.89</v>
      </c>
      <c r="F110" s="15" t="n">
        <v>0</v>
      </c>
      <c r="G110" s="14" t="n">
        <v>26033.78</v>
      </c>
    </row>
    <row r="111">
      <c r="A111" t="inlineStr">
        <is>
          <t>ORD-0114</t>
        </is>
      </c>
      <c r="B111" s="13" t="n">
        <v>46247</v>
      </c>
      <c r="C111" t="inlineStr">
        <is>
          <t>SSD 1TB</t>
        </is>
      </c>
      <c r="D111" t="n">
        <v>1</v>
      </c>
      <c r="E111" s="14" t="n">
        <v>6926.57</v>
      </c>
      <c r="F111" s="15" t="n">
        <v>0</v>
      </c>
      <c r="G111" s="14" t="n">
        <v>6926.57</v>
      </c>
    </row>
    <row r="112">
      <c r="A112" t="inlineStr">
        <is>
          <t>ORD-0150</t>
        </is>
      </c>
      <c r="B112" s="13" t="n">
        <v>46247</v>
      </c>
      <c r="C112" t="inlineStr">
        <is>
          <t>Monitor</t>
        </is>
      </c>
      <c r="D112" t="n">
        <v>1</v>
      </c>
      <c r="E112" s="14" t="n">
        <v>14709.42</v>
      </c>
      <c r="F112" s="15" t="n">
        <v>0.1</v>
      </c>
      <c r="G112" s="14" t="n">
        <v>13238.48</v>
      </c>
    </row>
    <row r="113">
      <c r="A113" t="inlineStr">
        <is>
          <t>ORD-0126</t>
        </is>
      </c>
      <c r="B113" s="13" t="n">
        <v>46249</v>
      </c>
      <c r="C113" t="inlineStr">
        <is>
          <t>Gaming Chair</t>
        </is>
      </c>
      <c r="D113" t="n">
        <v>2</v>
      </c>
      <c r="E113" s="14" t="n">
        <v>13505.89</v>
      </c>
      <c r="F113" s="15" t="n">
        <v>0.08</v>
      </c>
      <c r="G113" s="14" t="n">
        <v>24850.84</v>
      </c>
    </row>
    <row r="114">
      <c r="A114" t="inlineStr">
        <is>
          <t>ORD-0048</t>
        </is>
      </c>
      <c r="B114" s="13" t="n">
        <v>46250</v>
      </c>
      <c r="C114" t="inlineStr">
        <is>
          <t>Smartwatch</t>
        </is>
      </c>
      <c r="D114" t="n">
        <v>1</v>
      </c>
      <c r="E114" s="14" t="n">
        <v>5329.04</v>
      </c>
      <c r="F114" s="15" t="n">
        <v>0.08</v>
      </c>
      <c r="G114" s="14" t="n">
        <v>4902.72</v>
      </c>
    </row>
    <row r="115">
      <c r="A115" t="inlineStr">
        <is>
          <t>ORD-0138</t>
        </is>
      </c>
      <c r="B115" s="13" t="n">
        <v>46250</v>
      </c>
      <c r="C115" t="inlineStr">
        <is>
          <t>Gaming Chair</t>
        </is>
      </c>
      <c r="D115" t="n">
        <v>1</v>
      </c>
      <c r="E115" s="14" t="n">
        <v>12934.09</v>
      </c>
      <c r="F115" s="15" t="n">
        <v>0.02</v>
      </c>
      <c r="G115" s="14" t="n">
        <v>12675.41</v>
      </c>
    </row>
    <row r="116">
      <c r="A116" t="inlineStr">
        <is>
          <t>ORD-0001</t>
        </is>
      </c>
      <c r="B116" s="13" t="n">
        <v>46251</v>
      </c>
      <c r="C116" t="inlineStr">
        <is>
          <t>Smartphone</t>
        </is>
      </c>
      <c r="D116" t="n">
        <v>1</v>
      </c>
      <c r="E116" s="14" t="n">
        <v>28663.16</v>
      </c>
      <c r="F116" s="15" t="n">
        <v>0.08</v>
      </c>
      <c r="G116" s="14" t="n">
        <v>26370.11</v>
      </c>
    </row>
    <row r="117">
      <c r="A117" t="inlineStr">
        <is>
          <t>ORD-0006</t>
        </is>
      </c>
      <c r="B117" s="13" t="n">
        <v>46251</v>
      </c>
      <c r="C117" t="inlineStr">
        <is>
          <t>Monitor</t>
        </is>
      </c>
      <c r="D117" t="n">
        <v>1</v>
      </c>
      <c r="E117" s="14" t="n">
        <v>15184.03</v>
      </c>
      <c r="F117" s="15" t="n">
        <v>0.1</v>
      </c>
      <c r="G117" s="14" t="n">
        <v>13665.63</v>
      </c>
    </row>
    <row r="118">
      <c r="A118" t="inlineStr">
        <is>
          <t>ORD-0030</t>
        </is>
      </c>
      <c r="B118" s="13" t="n">
        <v>46251</v>
      </c>
      <c r="C118" t="inlineStr">
        <is>
          <t>Laptop</t>
        </is>
      </c>
      <c r="D118" t="n">
        <v>1</v>
      </c>
      <c r="E118" s="14" t="n">
        <v>65993.00999999999</v>
      </c>
      <c r="F118" s="15" t="n">
        <v>0</v>
      </c>
      <c r="G118" s="14" t="n">
        <v>65993.00999999999</v>
      </c>
    </row>
    <row r="119">
      <c r="A119" t="inlineStr">
        <is>
          <t>ORD-0047</t>
        </is>
      </c>
      <c r="B119" s="13" t="n">
        <v>46251</v>
      </c>
      <c r="C119" t="inlineStr">
        <is>
          <t>Laptop</t>
        </is>
      </c>
      <c r="D119" t="n">
        <v>1</v>
      </c>
      <c r="E119" s="14" t="n">
        <v>61836.84</v>
      </c>
      <c r="F119" s="15" t="n">
        <v>0</v>
      </c>
      <c r="G119" s="14" t="n">
        <v>61836.84</v>
      </c>
    </row>
    <row r="120">
      <c r="A120" t="inlineStr">
        <is>
          <t>ORD-0090</t>
        </is>
      </c>
      <c r="B120" s="13" t="n">
        <v>46251</v>
      </c>
      <c r="C120" t="inlineStr">
        <is>
          <t>Smartwatch</t>
        </is>
      </c>
      <c r="D120" t="n">
        <v>1</v>
      </c>
      <c r="E120" s="14" t="n">
        <v>5565.73</v>
      </c>
      <c r="F120" s="15" t="n">
        <v>0.02</v>
      </c>
      <c r="G120" s="14" t="n">
        <v>5454.42</v>
      </c>
    </row>
    <row r="121">
      <c r="A121" t="inlineStr">
        <is>
          <t>ORD-0133</t>
        </is>
      </c>
      <c r="B121" s="13" t="n">
        <v>46251</v>
      </c>
      <c r="C121" t="inlineStr">
        <is>
          <t>Webcam</t>
        </is>
      </c>
      <c r="D121" t="n">
        <v>1</v>
      </c>
      <c r="E121" s="14" t="n">
        <v>2869.02</v>
      </c>
      <c r="F121" s="15" t="n">
        <v>0.05</v>
      </c>
      <c r="G121" s="14" t="n">
        <v>2725.57</v>
      </c>
    </row>
    <row r="122">
      <c r="A122" t="inlineStr">
        <is>
          <t>ORD-0007</t>
        </is>
      </c>
      <c r="B122" s="13" t="n">
        <v>46252</v>
      </c>
      <c r="C122" t="inlineStr">
        <is>
          <t>External HDD</t>
        </is>
      </c>
      <c r="D122" t="n">
        <v>1</v>
      </c>
      <c r="E122" s="14" t="n">
        <v>6144.17</v>
      </c>
      <c r="F122" s="15" t="n">
        <v>0.02</v>
      </c>
      <c r="G122" s="14" t="n">
        <v>6021.29</v>
      </c>
    </row>
    <row r="123">
      <c r="A123" t="inlineStr">
        <is>
          <t>ORD-0014</t>
        </is>
      </c>
      <c r="B123" s="13" t="n">
        <v>46252</v>
      </c>
      <c r="C123" t="inlineStr">
        <is>
          <t>Bluetooth Speaker</t>
        </is>
      </c>
      <c r="D123" t="n">
        <v>1</v>
      </c>
      <c r="E123" s="14" t="n">
        <v>3307.8</v>
      </c>
      <c r="F123" s="15" t="n">
        <v>0.05</v>
      </c>
      <c r="G123" s="14" t="n">
        <v>3142.41</v>
      </c>
    </row>
    <row r="124">
      <c r="A124" t="inlineStr">
        <is>
          <t>ORD-0027</t>
        </is>
      </c>
      <c r="B124" s="13" t="n">
        <v>46252</v>
      </c>
      <c r="C124" t="inlineStr">
        <is>
          <t>Mouse</t>
        </is>
      </c>
      <c r="D124" t="n">
        <v>1</v>
      </c>
      <c r="E124" s="14" t="n">
        <v>1167.2</v>
      </c>
      <c r="F124" s="15" t="n">
        <v>0</v>
      </c>
      <c r="G124" s="14" t="n">
        <v>1167.2</v>
      </c>
    </row>
    <row r="125">
      <c r="A125" t="inlineStr">
        <is>
          <t>ORD-0051</t>
        </is>
      </c>
      <c r="B125" s="13" t="n">
        <v>46252</v>
      </c>
      <c r="C125" t="inlineStr">
        <is>
          <t>WiFi Adapter</t>
        </is>
      </c>
      <c r="D125" t="n">
        <v>3</v>
      </c>
      <c r="E125" s="14" t="n">
        <v>1052.99</v>
      </c>
      <c r="F125" s="15" t="n">
        <v>0.02</v>
      </c>
      <c r="G125" s="14" t="n">
        <v>3095.79</v>
      </c>
    </row>
    <row r="126">
      <c r="A126" t="inlineStr">
        <is>
          <t>ORD-0076</t>
        </is>
      </c>
      <c r="B126" s="13" t="n">
        <v>46252</v>
      </c>
      <c r="C126" t="inlineStr">
        <is>
          <t>USB Hub</t>
        </is>
      </c>
      <c r="D126" t="n">
        <v>1</v>
      </c>
      <c r="E126" s="14" t="n">
        <v>1502.56</v>
      </c>
      <c r="F126" s="15" t="n">
        <v>0.02</v>
      </c>
      <c r="G126" s="14" t="n">
        <v>1472.51</v>
      </c>
    </row>
    <row r="127">
      <c r="A127" t="inlineStr">
        <is>
          <t>ORD-0087</t>
        </is>
      </c>
      <c r="B127" s="13" t="n">
        <v>46252</v>
      </c>
      <c r="C127" t="inlineStr">
        <is>
          <t>Webcam</t>
        </is>
      </c>
      <c r="D127" t="n">
        <v>1</v>
      </c>
      <c r="E127" s="14" t="n">
        <v>2717.14</v>
      </c>
      <c r="F127" s="15" t="n">
        <v>0.08</v>
      </c>
      <c r="G127" s="14" t="n">
        <v>2499.77</v>
      </c>
    </row>
    <row r="128">
      <c r="A128" t="inlineStr">
        <is>
          <t>ORD-0065</t>
        </is>
      </c>
      <c r="B128" s="13" t="n">
        <v>46254</v>
      </c>
      <c r="C128" t="inlineStr">
        <is>
          <t>Gaming Chair</t>
        </is>
      </c>
      <c r="D128" t="n">
        <v>1</v>
      </c>
      <c r="E128" s="14" t="n">
        <v>13652.98</v>
      </c>
      <c r="F128" s="15" t="n">
        <v>0</v>
      </c>
      <c r="G128" s="14" t="n">
        <v>13652.98</v>
      </c>
    </row>
    <row r="129">
      <c r="A129" t="inlineStr">
        <is>
          <t>ORD-0012</t>
        </is>
      </c>
      <c r="B129" s="13" t="n">
        <v>46255</v>
      </c>
      <c r="C129" t="inlineStr">
        <is>
          <t>Bluetooth Speaker</t>
        </is>
      </c>
      <c r="D129" t="n">
        <v>2</v>
      </c>
      <c r="E129" s="14" t="n">
        <v>3118.72</v>
      </c>
      <c r="F129" s="15" t="n">
        <v>0</v>
      </c>
      <c r="G129" s="14" t="n">
        <v>6237.44</v>
      </c>
    </row>
    <row r="130">
      <c r="A130" t="inlineStr">
        <is>
          <t>ORD-0061</t>
        </is>
      </c>
      <c r="B130" s="13" t="n">
        <v>46255</v>
      </c>
      <c r="C130" t="inlineStr">
        <is>
          <t>Mouse</t>
        </is>
      </c>
      <c r="D130" t="n">
        <v>1</v>
      </c>
      <c r="E130" s="14" t="n">
        <v>1204.43</v>
      </c>
      <c r="F130" s="15" t="n">
        <v>0</v>
      </c>
      <c r="G130" s="14" t="n">
        <v>1204.43</v>
      </c>
    </row>
    <row r="131">
      <c r="A131" t="inlineStr">
        <is>
          <t>ORD-0100</t>
        </is>
      </c>
      <c r="B131" s="13" t="n">
        <v>46255</v>
      </c>
      <c r="C131" t="inlineStr">
        <is>
          <t>Smartwatch</t>
        </is>
      </c>
      <c r="D131" t="n">
        <v>1</v>
      </c>
      <c r="E131" s="14" t="n">
        <v>5461.93</v>
      </c>
      <c r="F131" s="15" t="n">
        <v>0.02</v>
      </c>
      <c r="G131" s="14" t="n">
        <v>5352.69</v>
      </c>
    </row>
    <row r="132">
      <c r="A132" t="inlineStr">
        <is>
          <t>ORD-0019</t>
        </is>
      </c>
      <c r="B132" s="13" t="n">
        <v>46256</v>
      </c>
      <c r="C132" t="inlineStr">
        <is>
          <t>WiFi Adapter</t>
        </is>
      </c>
      <c r="D132" t="n">
        <v>1</v>
      </c>
      <c r="E132" s="14" t="n">
        <v>1071.14</v>
      </c>
      <c r="F132" s="15" t="n">
        <v>0</v>
      </c>
      <c r="G132" s="14" t="n">
        <v>1071.14</v>
      </c>
    </row>
    <row r="133">
      <c r="A133" t="inlineStr">
        <is>
          <t>ORD-0082</t>
        </is>
      </c>
      <c r="B133" s="13" t="n">
        <v>46256</v>
      </c>
      <c r="C133" t="inlineStr">
        <is>
          <t>WiFi Adapter</t>
        </is>
      </c>
      <c r="D133" t="n">
        <v>1</v>
      </c>
      <c r="E133" s="14" t="n">
        <v>1104.32</v>
      </c>
      <c r="F133" s="15" t="n">
        <v>0.05</v>
      </c>
      <c r="G133" s="14" t="n">
        <v>1049.1</v>
      </c>
    </row>
    <row r="134">
      <c r="A134" t="inlineStr">
        <is>
          <t>ORD-0111</t>
        </is>
      </c>
      <c r="B134" s="13" t="n">
        <v>46256</v>
      </c>
      <c r="C134" t="inlineStr">
        <is>
          <t>Smartphone</t>
        </is>
      </c>
      <c r="D134" t="n">
        <v>1</v>
      </c>
      <c r="E134" s="14" t="n">
        <v>26968.62</v>
      </c>
      <c r="F134" s="15" t="n">
        <v>0.05</v>
      </c>
      <c r="G134" s="14" t="n">
        <v>25620.19</v>
      </c>
    </row>
    <row r="135">
      <c r="A135" t="inlineStr">
        <is>
          <t>ORD-0077</t>
        </is>
      </c>
      <c r="B135" s="13" t="n">
        <v>46257</v>
      </c>
      <c r="C135" t="inlineStr">
        <is>
          <t>WiFi Adapter</t>
        </is>
      </c>
      <c r="D135" t="n">
        <v>1</v>
      </c>
      <c r="E135" s="14" t="n">
        <v>1118.42</v>
      </c>
      <c r="F135" s="15" t="n">
        <v>0</v>
      </c>
      <c r="G135" s="14" t="n">
        <v>1118.42</v>
      </c>
    </row>
    <row r="136">
      <c r="A136" t="inlineStr">
        <is>
          <t>ORD-0131</t>
        </is>
      </c>
      <c r="B136" s="13" t="n">
        <v>46257</v>
      </c>
      <c r="C136" t="inlineStr">
        <is>
          <t>Smartwatch</t>
        </is>
      </c>
      <c r="D136" t="n">
        <v>1</v>
      </c>
      <c r="E136" s="14" t="n">
        <v>5566.55</v>
      </c>
      <c r="F136" s="15" t="n">
        <v>0</v>
      </c>
      <c r="G136" s="14" t="n">
        <v>5566.55</v>
      </c>
    </row>
    <row r="137">
      <c r="A137" t="inlineStr">
        <is>
          <t>ORD-0046</t>
        </is>
      </c>
      <c r="B137" s="13" t="n">
        <v>46259</v>
      </c>
      <c r="C137" t="inlineStr">
        <is>
          <t>Gaming Chair</t>
        </is>
      </c>
      <c r="D137" t="n">
        <v>2</v>
      </c>
      <c r="E137" s="14" t="n">
        <v>13201.81</v>
      </c>
      <c r="F137" s="15" t="n">
        <v>0.02</v>
      </c>
      <c r="G137" s="14" t="n">
        <v>25875.55</v>
      </c>
    </row>
    <row r="138">
      <c r="A138" t="inlineStr">
        <is>
          <t>ORD-0026</t>
        </is>
      </c>
      <c r="B138" s="13" t="n">
        <v>46260</v>
      </c>
      <c r="C138" t="inlineStr">
        <is>
          <t>Printer</t>
        </is>
      </c>
      <c r="D138" t="n">
        <v>1</v>
      </c>
      <c r="E138" s="14" t="n">
        <v>13203.76</v>
      </c>
      <c r="F138" s="15" t="n">
        <v>0</v>
      </c>
      <c r="G138" s="14" t="n">
        <v>13203.76</v>
      </c>
    </row>
    <row r="139">
      <c r="A139" t="inlineStr">
        <is>
          <t>ORD-0081</t>
        </is>
      </c>
      <c r="B139" s="13" t="n">
        <v>46260</v>
      </c>
      <c r="C139" t="inlineStr">
        <is>
          <t>External HDD</t>
        </is>
      </c>
      <c r="D139" t="n">
        <v>1</v>
      </c>
      <c r="E139" s="14" t="n">
        <v>6527.64</v>
      </c>
      <c r="F139" s="15" t="n">
        <v>0</v>
      </c>
      <c r="G139" s="14" t="n">
        <v>6527.64</v>
      </c>
    </row>
    <row r="140">
      <c r="A140" t="inlineStr">
        <is>
          <t>ORD-0145</t>
        </is>
      </c>
      <c r="B140" s="13" t="n">
        <v>46260</v>
      </c>
      <c r="C140" t="inlineStr">
        <is>
          <t>Webcam</t>
        </is>
      </c>
      <c r="D140" t="n">
        <v>1</v>
      </c>
      <c r="E140" s="14" t="n">
        <v>2746.44</v>
      </c>
      <c r="F140" s="15" t="n">
        <v>0.08</v>
      </c>
      <c r="G140" s="14" t="n">
        <v>2526.72</v>
      </c>
    </row>
    <row r="141">
      <c r="A141" t="inlineStr">
        <is>
          <t>ORD-0147</t>
        </is>
      </c>
      <c r="B141" s="13" t="n">
        <v>46260</v>
      </c>
      <c r="C141" t="inlineStr">
        <is>
          <t>WiFi Adapter</t>
        </is>
      </c>
      <c r="D141" t="n">
        <v>1</v>
      </c>
      <c r="E141" s="14" t="n">
        <v>1078.73</v>
      </c>
      <c r="F141" s="15" t="n">
        <v>0</v>
      </c>
      <c r="G141" s="14" t="n">
        <v>1078.73</v>
      </c>
    </row>
    <row r="142">
      <c r="A142" t="inlineStr">
        <is>
          <t>ORD-0067</t>
        </is>
      </c>
      <c r="B142" s="13" t="n">
        <v>46261</v>
      </c>
      <c r="C142" t="inlineStr">
        <is>
          <t>Mechanical Keyboard</t>
        </is>
      </c>
      <c r="D142" t="n">
        <v>1</v>
      </c>
      <c r="E142" s="14" t="n">
        <v>4600.48</v>
      </c>
      <c r="F142" s="15" t="n">
        <v>0</v>
      </c>
      <c r="G142" s="14" t="n">
        <v>4600.48</v>
      </c>
    </row>
    <row r="143">
      <c r="A143" t="inlineStr">
        <is>
          <t>ORD-0074</t>
        </is>
      </c>
      <c r="B143" s="13" t="n">
        <v>46261</v>
      </c>
      <c r="C143" t="inlineStr">
        <is>
          <t>Webcam</t>
        </is>
      </c>
      <c r="D143" t="n">
        <v>1</v>
      </c>
      <c r="E143" s="14" t="n">
        <v>2935.29</v>
      </c>
      <c r="F143" s="15" t="n">
        <v>0.05</v>
      </c>
      <c r="G143" s="14" t="n">
        <v>2788.53</v>
      </c>
    </row>
    <row r="144">
      <c r="A144" t="inlineStr">
        <is>
          <t>ORD-0091</t>
        </is>
      </c>
      <c r="B144" s="13" t="n">
        <v>46261</v>
      </c>
      <c r="C144" t="inlineStr">
        <is>
          <t>Tablet</t>
        </is>
      </c>
      <c r="D144" t="n">
        <v>1</v>
      </c>
      <c r="E144" s="14" t="n">
        <v>20911.55</v>
      </c>
      <c r="F144" s="15" t="n">
        <v>0</v>
      </c>
      <c r="G144" s="14" t="n">
        <v>20911.55</v>
      </c>
    </row>
    <row r="145">
      <c r="A145" t="inlineStr">
        <is>
          <t>ORD-0095</t>
        </is>
      </c>
      <c r="B145" s="13" t="n">
        <v>46262</v>
      </c>
      <c r="C145" t="inlineStr">
        <is>
          <t>Smartphone</t>
        </is>
      </c>
      <c r="D145" t="n">
        <v>1</v>
      </c>
      <c r="E145" s="14" t="n">
        <v>28771.74</v>
      </c>
      <c r="F145" s="15" t="n">
        <v>0</v>
      </c>
      <c r="G145" s="14" t="n">
        <v>28771.74</v>
      </c>
    </row>
    <row r="146">
      <c r="A146" t="inlineStr">
        <is>
          <t>ORD-0035</t>
        </is>
      </c>
      <c r="B146" s="13" t="n">
        <v>46263</v>
      </c>
      <c r="C146" t="inlineStr">
        <is>
          <t>Monitor</t>
        </is>
      </c>
      <c r="D146" t="n">
        <v>1</v>
      </c>
      <c r="E146" s="14" t="n">
        <v>13773.95</v>
      </c>
      <c r="F146" s="15" t="n">
        <v>0.05</v>
      </c>
      <c r="G146" s="14" t="n">
        <v>13085.25</v>
      </c>
    </row>
    <row r="147">
      <c r="A147" t="inlineStr">
        <is>
          <t>ORD-0059</t>
        </is>
      </c>
      <c r="B147" s="13" t="n">
        <v>46263</v>
      </c>
      <c r="C147" t="inlineStr">
        <is>
          <t>Laptop</t>
        </is>
      </c>
      <c r="D147" t="n">
        <v>1</v>
      </c>
      <c r="E147" s="14" t="n">
        <v>67374.02</v>
      </c>
      <c r="F147" s="15" t="n">
        <v>0.08</v>
      </c>
      <c r="G147" s="14" t="n">
        <v>61984.1</v>
      </c>
    </row>
    <row r="148">
      <c r="A148" t="inlineStr">
        <is>
          <t>ORD-0075</t>
        </is>
      </c>
      <c r="B148" s="13" t="n">
        <v>46264</v>
      </c>
      <c r="C148" t="inlineStr">
        <is>
          <t>Keyboard</t>
        </is>
      </c>
      <c r="D148" t="n">
        <v>2</v>
      </c>
      <c r="E148" s="14" t="n">
        <v>2237.62</v>
      </c>
      <c r="F148" s="15" t="n">
        <v>0.05</v>
      </c>
      <c r="G148" s="14" t="n">
        <v>4251.48</v>
      </c>
    </row>
    <row r="149">
      <c r="A149" t="inlineStr">
        <is>
          <t>ORD-0115</t>
        </is>
      </c>
      <c r="B149" s="13" t="n">
        <v>46264</v>
      </c>
      <c r="C149" t="inlineStr">
        <is>
          <t>Printer</t>
        </is>
      </c>
      <c r="D149" t="n">
        <v>1</v>
      </c>
      <c r="E149" s="14" t="n">
        <v>12704.61</v>
      </c>
      <c r="F149" s="15" t="n">
        <v>0.05</v>
      </c>
      <c r="G149" s="14" t="n">
        <v>12069.38</v>
      </c>
    </row>
    <row r="150">
      <c r="A150" t="inlineStr">
        <is>
          <t>ORD-0102</t>
        </is>
      </c>
      <c r="B150" s="13" t="n">
        <v>46265</v>
      </c>
      <c r="C150" t="inlineStr">
        <is>
          <t>Printer</t>
        </is>
      </c>
      <c r="D150" t="n">
        <v>2</v>
      </c>
      <c r="E150" s="14" t="n">
        <v>13005.34</v>
      </c>
      <c r="F150" s="15" t="n">
        <v>0</v>
      </c>
      <c r="G150" s="14" t="n">
        <v>26010.68</v>
      </c>
    </row>
    <row r="151">
      <c r="A151" t="inlineStr">
        <is>
          <t>ORD-0136</t>
        </is>
      </c>
      <c r="B151" s="13" t="n">
        <v>46265</v>
      </c>
      <c r="C151" t="inlineStr">
        <is>
          <t>Mechanical Keyboard</t>
        </is>
      </c>
      <c r="D151" t="n">
        <v>1</v>
      </c>
      <c r="E151" s="14" t="n">
        <v>5082.43</v>
      </c>
      <c r="F151" s="15" t="n">
        <v>0.05</v>
      </c>
      <c r="G151" s="14" t="n">
        <v>4828.31</v>
      </c>
    </row>
    <row r="154">
      <c r="A154" s="16" t="inlineStr">
        <is>
          <t>Product Revenue Check</t>
        </is>
      </c>
    </row>
    <row r="155">
      <c r="A155" s="17" t="inlineStr">
        <is>
          <t>Product</t>
        </is>
      </c>
      <c r="B155" s="17" t="inlineStr">
        <is>
          <t>Revenue</t>
        </is>
      </c>
      <c r="C155" s="17" t="inlineStr">
        <is>
          <t>Units</t>
        </is>
      </c>
    </row>
    <row r="156">
      <c r="A156">
        <f>SORT(UNIQUE(tblOrders[Product]))</f>
        <v/>
      </c>
      <c r="B156" s="14">
        <f>SUMIF(tblOrders[Product],A156#,tblOrders[Revenue])</f>
        <v/>
      </c>
      <c r="C156">
        <f>SUMIF(tblOrders[Product],A156#,tblOrders[Units])</f>
        <v/>
      </c>
    </row>
  </sheetData>
  <mergeCells count="1">
    <mergeCell ref="A154:C15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2026-09-17T13:30:29Z</dcterms:created>
  <dcterms:modified xmlns:dcterms="http://purl.org/dc/terms/" xmlns:xsi="http://www.w3.org/2001/XMLSchema-instance" xsi:type="dcterms:W3CDTF">2026-09-17T13:30:29Z</dcterms:modified>
</cp:coreProperties>
</file>